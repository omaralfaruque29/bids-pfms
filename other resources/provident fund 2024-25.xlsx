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/>
  </bookViews>
  <sheets>
    <sheet name="Main Fil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118" i="1" l="1"/>
  <c r="AR118" i="1"/>
  <c r="AM118" i="1"/>
  <c r="AO118" i="1" s="1"/>
  <c r="Y118" i="1"/>
  <c r="Z118" i="1" s="1"/>
  <c r="AP118" i="1" s="1"/>
  <c r="J118" i="1" s="1"/>
  <c r="AY117" i="1"/>
  <c r="AR117" i="1"/>
  <c r="AS117" i="1" s="1"/>
  <c r="AO117" i="1"/>
  <c r="AM117" i="1"/>
  <c r="Y117" i="1"/>
  <c r="Z117" i="1" s="1"/>
  <c r="AP117" i="1" s="1"/>
  <c r="J117" i="1" s="1"/>
  <c r="AY116" i="1"/>
  <c r="AT116" i="1"/>
  <c r="AR116" i="1"/>
  <c r="BC116" i="1" s="1"/>
  <c r="BE116" i="1" s="1"/>
  <c r="F116" i="1" s="1"/>
  <c r="AM116" i="1"/>
  <c r="AO116" i="1" s="1"/>
  <c r="Y116" i="1"/>
  <c r="Z116" i="1" s="1"/>
  <c r="AY115" i="1"/>
  <c r="AR115" i="1"/>
  <c r="BC115" i="1" s="1"/>
  <c r="BE115" i="1" s="1"/>
  <c r="F115" i="1" s="1"/>
  <c r="AM115" i="1"/>
  <c r="AO115" i="1" s="1"/>
  <c r="Y115" i="1"/>
  <c r="Z115" i="1" s="1"/>
  <c r="AP115" i="1" s="1"/>
  <c r="J115" i="1" s="1"/>
  <c r="AY114" i="1"/>
  <c r="AR114" i="1"/>
  <c r="AM114" i="1"/>
  <c r="AO114" i="1" s="1"/>
  <c r="Y114" i="1"/>
  <c r="Z114" i="1" s="1"/>
  <c r="AR113" i="1"/>
  <c r="BC113" i="1" s="1"/>
  <c r="BE113" i="1" s="1"/>
  <c r="F113" i="1" s="1"/>
  <c r="AM113" i="1"/>
  <c r="AO113" i="1" s="1"/>
  <c r="Y113" i="1"/>
  <c r="Z113" i="1" s="1"/>
  <c r="AY112" i="1"/>
  <c r="AR112" i="1"/>
  <c r="AM112" i="1"/>
  <c r="AO112" i="1" s="1"/>
  <c r="Y112" i="1"/>
  <c r="Z112" i="1" s="1"/>
  <c r="AP112" i="1" s="1"/>
  <c r="J112" i="1" s="1"/>
  <c r="AY111" i="1"/>
  <c r="AR111" i="1"/>
  <c r="BC111" i="1" s="1"/>
  <c r="BE111" i="1" s="1"/>
  <c r="F111" i="1" s="1"/>
  <c r="AM111" i="1"/>
  <c r="AO111" i="1" s="1"/>
  <c r="Y111" i="1"/>
  <c r="Z111" i="1" s="1"/>
  <c r="AP111" i="1" s="1"/>
  <c r="J111" i="1" s="1"/>
  <c r="AY110" i="1"/>
  <c r="AS110" i="1"/>
  <c r="AT110" i="1" s="1"/>
  <c r="AR110" i="1"/>
  <c r="AM110" i="1"/>
  <c r="AO110" i="1" s="1"/>
  <c r="Y110" i="1"/>
  <c r="Z110" i="1" s="1"/>
  <c r="AP110" i="1" s="1"/>
  <c r="J110" i="1" s="1"/>
  <c r="AY109" i="1"/>
  <c r="AR109" i="1"/>
  <c r="AS109" i="1" s="1"/>
  <c r="AT109" i="1" s="1"/>
  <c r="AM109" i="1"/>
  <c r="AO109" i="1" s="1"/>
  <c r="Y109" i="1"/>
  <c r="Z109" i="1" s="1"/>
  <c r="AY108" i="1"/>
  <c r="AT108" i="1"/>
  <c r="AR108" i="1"/>
  <c r="BC108" i="1" s="1"/>
  <c r="BE108" i="1" s="1"/>
  <c r="F108" i="1" s="1"/>
  <c r="AM108" i="1"/>
  <c r="AO108" i="1" s="1"/>
  <c r="Y108" i="1"/>
  <c r="Z108" i="1" s="1"/>
  <c r="AP108" i="1" s="1"/>
  <c r="J108" i="1" s="1"/>
  <c r="AY107" i="1"/>
  <c r="AR107" i="1"/>
  <c r="AM107" i="1"/>
  <c r="AO107" i="1" s="1"/>
  <c r="Y107" i="1"/>
  <c r="Z107" i="1" s="1"/>
  <c r="AP107" i="1" s="1"/>
  <c r="J107" i="1" s="1"/>
  <c r="BC106" i="1"/>
  <c r="BE106" i="1" s="1"/>
  <c r="F106" i="1" s="1"/>
  <c r="AY106" i="1"/>
  <c r="AR106" i="1"/>
  <c r="AM106" i="1"/>
  <c r="AO106" i="1" s="1"/>
  <c r="Y106" i="1"/>
  <c r="Z106" i="1" s="1"/>
  <c r="AP106" i="1" s="1"/>
  <c r="J106" i="1" s="1"/>
  <c r="AR105" i="1"/>
  <c r="BC105" i="1" s="1"/>
  <c r="BE105" i="1" s="1"/>
  <c r="F105" i="1" s="1"/>
  <c r="AM105" i="1"/>
  <c r="AO105" i="1" s="1"/>
  <c r="Y105" i="1"/>
  <c r="Z105" i="1" s="1"/>
  <c r="AP105" i="1" s="1"/>
  <c r="J105" i="1" s="1"/>
  <c r="AY104" i="1"/>
  <c r="AR104" i="1"/>
  <c r="BC104" i="1" s="1"/>
  <c r="BE104" i="1" s="1"/>
  <c r="F104" i="1" s="1"/>
  <c r="AM104" i="1"/>
  <c r="AO104" i="1" s="1"/>
  <c r="Y104" i="1"/>
  <c r="Z104" i="1" s="1"/>
  <c r="AP104" i="1" s="1"/>
  <c r="J104" i="1" s="1"/>
  <c r="AY103" i="1"/>
  <c r="AR103" i="1"/>
  <c r="AM103" i="1"/>
  <c r="AO103" i="1" s="1"/>
  <c r="Y103" i="1"/>
  <c r="Z103" i="1" s="1"/>
  <c r="AP103" i="1" s="1"/>
  <c r="J103" i="1" s="1"/>
  <c r="AY102" i="1"/>
  <c r="AS102" i="1"/>
  <c r="AT102" i="1" s="1"/>
  <c r="AR102" i="1"/>
  <c r="AM102" i="1"/>
  <c r="AO102" i="1" s="1"/>
  <c r="Y102" i="1"/>
  <c r="Z102" i="1" s="1"/>
  <c r="AP102" i="1" s="1"/>
  <c r="J102" i="1" s="1"/>
  <c r="AY101" i="1"/>
  <c r="AR101" i="1"/>
  <c r="AS101" i="1" s="1"/>
  <c r="AM101" i="1"/>
  <c r="AO101" i="1" s="1"/>
  <c r="Y101" i="1"/>
  <c r="Z101" i="1" s="1"/>
  <c r="AP101" i="1" s="1"/>
  <c r="J101" i="1" s="1"/>
  <c r="AY100" i="1"/>
  <c r="AT100" i="1"/>
  <c r="AR100" i="1"/>
  <c r="BC100" i="1" s="1"/>
  <c r="BE100" i="1" s="1"/>
  <c r="F100" i="1" s="1"/>
  <c r="AM100" i="1"/>
  <c r="AO100" i="1" s="1"/>
  <c r="Y100" i="1"/>
  <c r="Z100" i="1" s="1"/>
  <c r="AY99" i="1"/>
  <c r="AR99" i="1"/>
  <c r="BC99" i="1" s="1"/>
  <c r="BE99" i="1" s="1"/>
  <c r="F99" i="1" s="1"/>
  <c r="AM99" i="1"/>
  <c r="AO99" i="1" s="1"/>
  <c r="Y99" i="1"/>
  <c r="Z99" i="1" s="1"/>
  <c r="AP99" i="1" s="1"/>
  <c r="J99" i="1" s="1"/>
  <c r="AY98" i="1"/>
  <c r="AR98" i="1"/>
  <c r="BC98" i="1" s="1"/>
  <c r="BE98" i="1" s="1"/>
  <c r="F98" i="1" s="1"/>
  <c r="AM98" i="1"/>
  <c r="AO98" i="1" s="1"/>
  <c r="Y98" i="1"/>
  <c r="Z98" i="1" s="1"/>
  <c r="AP98" i="1" s="1"/>
  <c r="J98" i="1" s="1"/>
  <c r="AR97" i="1"/>
  <c r="BC97" i="1" s="1"/>
  <c r="BE97" i="1" s="1"/>
  <c r="F97" i="1" s="1"/>
  <c r="AM97" i="1"/>
  <c r="AO97" i="1" s="1"/>
  <c r="Y97" i="1"/>
  <c r="Z97" i="1" s="1"/>
  <c r="AY96" i="1"/>
  <c r="AR96" i="1"/>
  <c r="BC96" i="1" s="1"/>
  <c r="BE96" i="1" s="1"/>
  <c r="F96" i="1" s="1"/>
  <c r="AM96" i="1"/>
  <c r="AO96" i="1" s="1"/>
  <c r="Y96" i="1"/>
  <c r="Z96" i="1" s="1"/>
  <c r="AP96" i="1" s="1"/>
  <c r="J96" i="1" s="1"/>
  <c r="AY95" i="1"/>
  <c r="AR95" i="1"/>
  <c r="AM95" i="1"/>
  <c r="AO95" i="1" s="1"/>
  <c r="Y95" i="1"/>
  <c r="Z95" i="1" s="1"/>
  <c r="AP95" i="1" s="1"/>
  <c r="J95" i="1" s="1"/>
  <c r="AY94" i="1"/>
  <c r="AR94" i="1"/>
  <c r="AS94" i="1" s="1"/>
  <c r="AT94" i="1" s="1"/>
  <c r="AM94" i="1"/>
  <c r="AO94" i="1" s="1"/>
  <c r="Y94" i="1"/>
  <c r="Z94" i="1" s="1"/>
  <c r="AY93" i="1"/>
  <c r="AR93" i="1"/>
  <c r="AS93" i="1" s="1"/>
  <c r="AT93" i="1" s="1"/>
  <c r="AM93" i="1"/>
  <c r="AO93" i="1" s="1"/>
  <c r="Y93" i="1"/>
  <c r="Z93" i="1" s="1"/>
  <c r="AY92" i="1"/>
  <c r="AT92" i="1"/>
  <c r="AR92" i="1"/>
  <c r="AM92" i="1"/>
  <c r="AO92" i="1" s="1"/>
  <c r="Y92" i="1"/>
  <c r="Z92" i="1" s="1"/>
  <c r="AP92" i="1" s="1"/>
  <c r="J92" i="1" s="1"/>
  <c r="AY91" i="1"/>
  <c r="AR91" i="1"/>
  <c r="BC91" i="1" s="1"/>
  <c r="BE91" i="1" s="1"/>
  <c r="F91" i="1" s="1"/>
  <c r="AM91" i="1"/>
  <c r="AO91" i="1" s="1"/>
  <c r="Y91" i="1"/>
  <c r="Z91" i="1" s="1"/>
  <c r="AP91" i="1" s="1"/>
  <c r="J91" i="1" s="1"/>
  <c r="AY90" i="1"/>
  <c r="AR90" i="1"/>
  <c r="BC90" i="1" s="1"/>
  <c r="BE90" i="1" s="1"/>
  <c r="F90" i="1" s="1"/>
  <c r="AM90" i="1"/>
  <c r="AO90" i="1" s="1"/>
  <c r="Z90" i="1"/>
  <c r="Y90" i="1"/>
  <c r="AR89" i="1"/>
  <c r="BC89" i="1" s="1"/>
  <c r="BE89" i="1" s="1"/>
  <c r="F89" i="1" s="1"/>
  <c r="AM89" i="1"/>
  <c r="AO89" i="1" s="1"/>
  <c r="Y89" i="1"/>
  <c r="Z89" i="1" s="1"/>
  <c r="AP89" i="1" s="1"/>
  <c r="J89" i="1" s="1"/>
  <c r="AY88" i="1"/>
  <c r="AR88" i="1"/>
  <c r="BC88" i="1" s="1"/>
  <c r="BE88" i="1" s="1"/>
  <c r="F88" i="1" s="1"/>
  <c r="AM88" i="1"/>
  <c r="AO88" i="1" s="1"/>
  <c r="Y88" i="1"/>
  <c r="Z88" i="1" s="1"/>
  <c r="AP88" i="1" s="1"/>
  <c r="J88" i="1" s="1"/>
  <c r="BC87" i="1"/>
  <c r="BE87" i="1" s="1"/>
  <c r="F87" i="1" s="1"/>
  <c r="AY87" i="1"/>
  <c r="AR87" i="1"/>
  <c r="AM87" i="1"/>
  <c r="AO87" i="1" s="1"/>
  <c r="Y87" i="1"/>
  <c r="Z87" i="1" s="1"/>
  <c r="AP87" i="1" s="1"/>
  <c r="J87" i="1" s="1"/>
  <c r="AY86" i="1"/>
  <c r="AR86" i="1"/>
  <c r="AM86" i="1"/>
  <c r="AO86" i="1" s="1"/>
  <c r="Y86" i="1"/>
  <c r="Z86" i="1" s="1"/>
  <c r="AP86" i="1" s="1"/>
  <c r="J86" i="1" s="1"/>
  <c r="AY85" i="1"/>
  <c r="AS85" i="1"/>
  <c r="AT85" i="1" s="1"/>
  <c r="BC85" i="1" s="1"/>
  <c r="BE85" i="1" s="1"/>
  <c r="F85" i="1" s="1"/>
  <c r="AR85" i="1"/>
  <c r="AM85" i="1"/>
  <c r="AO85" i="1" s="1"/>
  <c r="Y85" i="1"/>
  <c r="Z85" i="1" s="1"/>
  <c r="AP85" i="1" s="1"/>
  <c r="J85" i="1" s="1"/>
  <c r="AY84" i="1"/>
  <c r="AT84" i="1"/>
  <c r="AR84" i="1"/>
  <c r="BC84" i="1" s="1"/>
  <c r="BE84" i="1" s="1"/>
  <c r="F84" i="1" s="1"/>
  <c r="AM84" i="1"/>
  <c r="AO84" i="1" s="1"/>
  <c r="Y84" i="1"/>
  <c r="Z84" i="1" s="1"/>
  <c r="AY83" i="1"/>
  <c r="AR83" i="1"/>
  <c r="BC83" i="1" s="1"/>
  <c r="BE83" i="1" s="1"/>
  <c r="F83" i="1" s="1"/>
  <c r="AM83" i="1"/>
  <c r="AO83" i="1" s="1"/>
  <c r="Y83" i="1"/>
  <c r="Z83" i="1" s="1"/>
  <c r="AP83" i="1" s="1"/>
  <c r="J83" i="1" s="1"/>
  <c r="AY82" i="1"/>
  <c r="AR82" i="1"/>
  <c r="BC82" i="1" s="1"/>
  <c r="BE82" i="1" s="1"/>
  <c r="F82" i="1" s="1"/>
  <c r="AM82" i="1"/>
  <c r="AO82" i="1" s="1"/>
  <c r="Y82" i="1"/>
  <c r="Z82" i="1" s="1"/>
  <c r="AP82" i="1" s="1"/>
  <c r="J82" i="1" s="1"/>
  <c r="AR81" i="1"/>
  <c r="BC81" i="1" s="1"/>
  <c r="BE81" i="1" s="1"/>
  <c r="F81" i="1" s="1"/>
  <c r="AM81" i="1"/>
  <c r="AO81" i="1" s="1"/>
  <c r="Y81" i="1"/>
  <c r="Z81" i="1" s="1"/>
  <c r="AY80" i="1"/>
  <c r="AR80" i="1"/>
  <c r="BC80" i="1" s="1"/>
  <c r="BE80" i="1" s="1"/>
  <c r="F80" i="1" s="1"/>
  <c r="AM80" i="1"/>
  <c r="AO80" i="1" s="1"/>
  <c r="Y80" i="1"/>
  <c r="Z80" i="1" s="1"/>
  <c r="AP80" i="1" s="1"/>
  <c r="J80" i="1" s="1"/>
  <c r="AY79" i="1"/>
  <c r="AR79" i="1"/>
  <c r="BC79" i="1" s="1"/>
  <c r="BE79" i="1" s="1"/>
  <c r="F79" i="1" s="1"/>
  <c r="AM79" i="1"/>
  <c r="AO79" i="1" s="1"/>
  <c r="Y79" i="1"/>
  <c r="Z79" i="1" s="1"/>
  <c r="AP79" i="1" s="1"/>
  <c r="J79" i="1" s="1"/>
  <c r="AY78" i="1"/>
  <c r="AR78" i="1"/>
  <c r="AS78" i="1" s="1"/>
  <c r="AT78" i="1" s="1"/>
  <c r="BC78" i="1" s="1"/>
  <c r="BE78" i="1" s="1"/>
  <c r="F78" i="1" s="1"/>
  <c r="AM78" i="1"/>
  <c r="AO78" i="1" s="1"/>
  <c r="Y78" i="1"/>
  <c r="Z78" i="1" s="1"/>
  <c r="AP78" i="1" s="1"/>
  <c r="J78" i="1" s="1"/>
  <c r="AY77" i="1"/>
  <c r="AR77" i="1"/>
  <c r="AM77" i="1"/>
  <c r="AO77" i="1" s="1"/>
  <c r="Y77" i="1"/>
  <c r="Z77" i="1" s="1"/>
  <c r="AP77" i="1" s="1"/>
  <c r="J77" i="1" s="1"/>
  <c r="AY76" i="1"/>
  <c r="AT76" i="1"/>
  <c r="AR76" i="1"/>
  <c r="AM76" i="1"/>
  <c r="AO76" i="1" s="1"/>
  <c r="Y76" i="1"/>
  <c r="Z76" i="1" s="1"/>
  <c r="AP76" i="1" s="1"/>
  <c r="J76" i="1" s="1"/>
  <c r="AY75" i="1"/>
  <c r="AR75" i="1"/>
  <c r="BC75" i="1" s="1"/>
  <c r="BE75" i="1" s="1"/>
  <c r="F75" i="1" s="1"/>
  <c r="AM75" i="1"/>
  <c r="AO75" i="1" s="1"/>
  <c r="Y75" i="1"/>
  <c r="Z75" i="1" s="1"/>
  <c r="AP75" i="1" s="1"/>
  <c r="J75" i="1" s="1"/>
  <c r="AY74" i="1"/>
  <c r="AR74" i="1"/>
  <c r="BC74" i="1" s="1"/>
  <c r="BE74" i="1" s="1"/>
  <c r="F74" i="1" s="1"/>
  <c r="AM74" i="1"/>
  <c r="AO74" i="1" s="1"/>
  <c r="Y74" i="1"/>
  <c r="Z74" i="1" s="1"/>
  <c r="AP74" i="1" s="1"/>
  <c r="J74" i="1" s="1"/>
  <c r="AR73" i="1"/>
  <c r="BC73" i="1" s="1"/>
  <c r="BE73" i="1" s="1"/>
  <c r="F73" i="1" s="1"/>
  <c r="AM73" i="1"/>
  <c r="AO73" i="1" s="1"/>
  <c r="Y73" i="1"/>
  <c r="Z73" i="1" s="1"/>
  <c r="AY72" i="1"/>
  <c r="AR72" i="1"/>
  <c r="BC72" i="1" s="1"/>
  <c r="BE72" i="1" s="1"/>
  <c r="F72" i="1" s="1"/>
  <c r="AM72" i="1"/>
  <c r="AO72" i="1" s="1"/>
  <c r="Y72" i="1"/>
  <c r="Z72" i="1" s="1"/>
  <c r="AP72" i="1" s="1"/>
  <c r="J72" i="1" s="1"/>
  <c r="AY71" i="1"/>
  <c r="AR71" i="1"/>
  <c r="AM71" i="1"/>
  <c r="AO71" i="1" s="1"/>
  <c r="Y71" i="1"/>
  <c r="Z71" i="1" s="1"/>
  <c r="AP71" i="1" s="1"/>
  <c r="J71" i="1" s="1"/>
  <c r="AY70" i="1"/>
  <c r="AR70" i="1"/>
  <c r="AS70" i="1" s="1"/>
  <c r="AT70" i="1" s="1"/>
  <c r="AM70" i="1"/>
  <c r="AO70" i="1" s="1"/>
  <c r="Y70" i="1"/>
  <c r="Z70" i="1" s="1"/>
  <c r="AP70" i="1" s="1"/>
  <c r="J70" i="1" s="1"/>
  <c r="AY69" i="1"/>
  <c r="AR69" i="1"/>
  <c r="AS69" i="1" s="1"/>
  <c r="AM69" i="1"/>
  <c r="AO69" i="1" s="1"/>
  <c r="Y69" i="1"/>
  <c r="Z69" i="1" s="1"/>
  <c r="AP69" i="1" s="1"/>
  <c r="J69" i="1" s="1"/>
  <c r="AY68" i="1"/>
  <c r="AT68" i="1"/>
  <c r="AR68" i="1"/>
  <c r="BC68" i="1" s="1"/>
  <c r="BE68" i="1" s="1"/>
  <c r="F68" i="1" s="1"/>
  <c r="AM68" i="1"/>
  <c r="AO68" i="1" s="1"/>
  <c r="Y68" i="1"/>
  <c r="Z68" i="1" s="1"/>
  <c r="AY67" i="1"/>
  <c r="AR67" i="1"/>
  <c r="AM67" i="1"/>
  <c r="AO67" i="1" s="1"/>
  <c r="Y67" i="1"/>
  <c r="Z67" i="1" s="1"/>
  <c r="AY66" i="1"/>
  <c r="AR66" i="1"/>
  <c r="BC66" i="1" s="1"/>
  <c r="BE66" i="1" s="1"/>
  <c r="F66" i="1" s="1"/>
  <c r="AM66" i="1"/>
  <c r="AO66" i="1" s="1"/>
  <c r="Y66" i="1"/>
  <c r="Z66" i="1" s="1"/>
  <c r="AP66" i="1" s="1"/>
  <c r="J66" i="1" s="1"/>
  <c r="AR65" i="1"/>
  <c r="BC65" i="1" s="1"/>
  <c r="BE65" i="1" s="1"/>
  <c r="F65" i="1" s="1"/>
  <c r="AM65" i="1"/>
  <c r="AO65" i="1" s="1"/>
  <c r="Y65" i="1"/>
  <c r="Z65" i="1" s="1"/>
  <c r="AP65" i="1" s="1"/>
  <c r="J65" i="1" s="1"/>
  <c r="BC64" i="1"/>
  <c r="BE64" i="1" s="1"/>
  <c r="F64" i="1" s="1"/>
  <c r="AY64" i="1"/>
  <c r="AR64" i="1"/>
  <c r="AM64" i="1"/>
  <c r="AO64" i="1" s="1"/>
  <c r="Y64" i="1"/>
  <c r="Z64" i="1" s="1"/>
  <c r="AP64" i="1" s="1"/>
  <c r="J64" i="1" s="1"/>
  <c r="AY63" i="1"/>
  <c r="AR63" i="1"/>
  <c r="BC63" i="1" s="1"/>
  <c r="BE63" i="1" s="1"/>
  <c r="F63" i="1" s="1"/>
  <c r="AM63" i="1"/>
  <c r="AO63" i="1" s="1"/>
  <c r="Y63" i="1"/>
  <c r="Z63" i="1" s="1"/>
  <c r="AP63" i="1" s="1"/>
  <c r="J63" i="1" s="1"/>
  <c r="AY62" i="1"/>
  <c r="AR62" i="1"/>
  <c r="AS62" i="1" s="1"/>
  <c r="AM62" i="1"/>
  <c r="AO62" i="1" s="1"/>
  <c r="Y62" i="1"/>
  <c r="Z62" i="1" s="1"/>
  <c r="AP62" i="1" s="1"/>
  <c r="J62" i="1" s="1"/>
  <c r="AY61" i="1"/>
  <c r="AR61" i="1"/>
  <c r="AM61" i="1"/>
  <c r="AO61" i="1" s="1"/>
  <c r="Y61" i="1"/>
  <c r="Z61" i="1" s="1"/>
  <c r="AP61" i="1" s="1"/>
  <c r="J61" i="1" s="1"/>
  <c r="AY60" i="1"/>
  <c r="AT60" i="1"/>
  <c r="BC60" i="1" s="1"/>
  <c r="BE60" i="1" s="1"/>
  <c r="F60" i="1" s="1"/>
  <c r="AR60" i="1"/>
  <c r="AM60" i="1"/>
  <c r="AO60" i="1" s="1"/>
  <c r="Y60" i="1"/>
  <c r="Z60" i="1" s="1"/>
  <c r="AP60" i="1" s="1"/>
  <c r="J60" i="1" s="1"/>
  <c r="AY59" i="1"/>
  <c r="AR59" i="1"/>
  <c r="BC59" i="1" s="1"/>
  <c r="BE59" i="1" s="1"/>
  <c r="F59" i="1" s="1"/>
  <c r="AM59" i="1"/>
  <c r="AO59" i="1" s="1"/>
  <c r="Y59" i="1"/>
  <c r="Z59" i="1" s="1"/>
  <c r="AP59" i="1" s="1"/>
  <c r="J59" i="1" s="1"/>
  <c r="AY58" i="1"/>
  <c r="AR58" i="1"/>
  <c r="BC58" i="1" s="1"/>
  <c r="BE58" i="1" s="1"/>
  <c r="F58" i="1" s="1"/>
  <c r="AM58" i="1"/>
  <c r="AO58" i="1" s="1"/>
  <c r="Y58" i="1"/>
  <c r="Z58" i="1" s="1"/>
  <c r="AR57" i="1"/>
  <c r="BC57" i="1" s="1"/>
  <c r="BE57" i="1" s="1"/>
  <c r="F57" i="1" s="1"/>
  <c r="AM57" i="1"/>
  <c r="AO57" i="1" s="1"/>
  <c r="Y57" i="1"/>
  <c r="Z57" i="1" s="1"/>
  <c r="AP57" i="1" s="1"/>
  <c r="J57" i="1" s="1"/>
  <c r="AY56" i="1"/>
  <c r="AR56" i="1"/>
  <c r="BC56" i="1" s="1"/>
  <c r="BE56" i="1" s="1"/>
  <c r="F56" i="1" s="1"/>
  <c r="AM56" i="1"/>
  <c r="AO56" i="1" s="1"/>
  <c r="Y56" i="1"/>
  <c r="Z56" i="1" s="1"/>
  <c r="AY55" i="1"/>
  <c r="AR55" i="1"/>
  <c r="BC55" i="1" s="1"/>
  <c r="BE55" i="1" s="1"/>
  <c r="F55" i="1" s="1"/>
  <c r="AM55" i="1"/>
  <c r="AO55" i="1" s="1"/>
  <c r="Y55" i="1"/>
  <c r="Z55" i="1" s="1"/>
  <c r="AP55" i="1" s="1"/>
  <c r="J55" i="1" s="1"/>
  <c r="AY54" i="1"/>
  <c r="AR54" i="1"/>
  <c r="AS54" i="1" s="1"/>
  <c r="AM54" i="1"/>
  <c r="AO54" i="1" s="1"/>
  <c r="Y54" i="1"/>
  <c r="Z54" i="1" s="1"/>
  <c r="AP54" i="1" s="1"/>
  <c r="J54" i="1" s="1"/>
  <c r="AY53" i="1"/>
  <c r="AT53" i="1"/>
  <c r="AR53" i="1"/>
  <c r="AM53" i="1"/>
  <c r="AO53" i="1" s="1"/>
  <c r="Y53" i="1"/>
  <c r="Z53" i="1" s="1"/>
  <c r="AY52" i="1"/>
  <c r="AR52" i="1"/>
  <c r="BC52" i="1" s="1"/>
  <c r="BE52" i="1" s="1"/>
  <c r="F52" i="1" s="1"/>
  <c r="AM52" i="1"/>
  <c r="AO52" i="1" s="1"/>
  <c r="Y52" i="1"/>
  <c r="Z52" i="1" s="1"/>
  <c r="AP52" i="1" s="1"/>
  <c r="J52" i="1" s="1"/>
  <c r="AY51" i="1"/>
  <c r="AR51" i="1"/>
  <c r="AM51" i="1"/>
  <c r="AO51" i="1" s="1"/>
  <c r="Y51" i="1"/>
  <c r="Z51" i="1" s="1"/>
  <c r="AP51" i="1" s="1"/>
  <c r="J51" i="1" s="1"/>
  <c r="AR50" i="1"/>
  <c r="BC50" i="1" s="1"/>
  <c r="BE50" i="1" s="1"/>
  <c r="F50" i="1" s="1"/>
  <c r="AM50" i="1"/>
  <c r="AO50" i="1" s="1"/>
  <c r="Y50" i="1"/>
  <c r="Z50" i="1" s="1"/>
  <c r="AY49" i="1"/>
  <c r="AR49" i="1"/>
  <c r="BC49" i="1" s="1"/>
  <c r="BE49" i="1" s="1"/>
  <c r="F49" i="1" s="1"/>
  <c r="AM49" i="1"/>
  <c r="AO49" i="1" s="1"/>
  <c r="Y49" i="1"/>
  <c r="Z49" i="1" s="1"/>
  <c r="AY48" i="1"/>
  <c r="AR48" i="1"/>
  <c r="BC48" i="1" s="1"/>
  <c r="BE48" i="1" s="1"/>
  <c r="F48" i="1" s="1"/>
  <c r="AM48" i="1"/>
  <c r="AO48" i="1" s="1"/>
  <c r="Y48" i="1"/>
  <c r="Z48" i="1" s="1"/>
  <c r="AP48" i="1" s="1"/>
  <c r="J48" i="1" s="1"/>
  <c r="AY47" i="1"/>
  <c r="AR47" i="1"/>
  <c r="AS47" i="1" s="1"/>
  <c r="AT47" i="1" s="1"/>
  <c r="AM47" i="1"/>
  <c r="AO47" i="1" s="1"/>
  <c r="Y47" i="1"/>
  <c r="Z47" i="1" s="1"/>
  <c r="AY46" i="1"/>
  <c r="AR46" i="1"/>
  <c r="AS46" i="1" s="1"/>
  <c r="AT46" i="1" s="1"/>
  <c r="AM46" i="1"/>
  <c r="AO46" i="1" s="1"/>
  <c r="Y46" i="1"/>
  <c r="Z46" i="1" s="1"/>
  <c r="AY45" i="1"/>
  <c r="AT45" i="1"/>
  <c r="AR45" i="1"/>
  <c r="BC45" i="1" s="1"/>
  <c r="BE45" i="1" s="1"/>
  <c r="F45" i="1" s="1"/>
  <c r="AM45" i="1"/>
  <c r="AO45" i="1" s="1"/>
  <c r="Y45" i="1"/>
  <c r="Z45" i="1" s="1"/>
  <c r="AY44" i="1"/>
  <c r="AR44" i="1"/>
  <c r="BC44" i="1" s="1"/>
  <c r="BE44" i="1" s="1"/>
  <c r="F44" i="1" s="1"/>
  <c r="AM44" i="1"/>
  <c r="AO44" i="1" s="1"/>
  <c r="Y44" i="1"/>
  <c r="Z44" i="1" s="1"/>
  <c r="AP44" i="1" s="1"/>
  <c r="J44" i="1" s="1"/>
  <c r="AY43" i="1"/>
  <c r="AR43" i="1"/>
  <c r="BC43" i="1" s="1"/>
  <c r="BE43" i="1" s="1"/>
  <c r="F43" i="1" s="1"/>
  <c r="AM43" i="1"/>
  <c r="AO43" i="1" s="1"/>
  <c r="Y43" i="1"/>
  <c r="Z43" i="1" s="1"/>
  <c r="AP43" i="1" s="1"/>
  <c r="J43" i="1" s="1"/>
  <c r="AR42" i="1"/>
  <c r="BC42" i="1" s="1"/>
  <c r="BE42" i="1" s="1"/>
  <c r="F42" i="1" s="1"/>
  <c r="AM42" i="1"/>
  <c r="AO42" i="1" s="1"/>
  <c r="Y42" i="1"/>
  <c r="Z42" i="1" s="1"/>
  <c r="AP42" i="1" s="1"/>
  <c r="J42" i="1" s="1"/>
  <c r="AY41" i="1"/>
  <c r="AR41" i="1"/>
  <c r="BC41" i="1" s="1"/>
  <c r="BE41" i="1" s="1"/>
  <c r="F41" i="1" s="1"/>
  <c r="AM41" i="1"/>
  <c r="AO41" i="1" s="1"/>
  <c r="Y41" i="1"/>
  <c r="Z41" i="1" s="1"/>
  <c r="AP41" i="1" s="1"/>
  <c r="J41" i="1" s="1"/>
  <c r="AY40" i="1"/>
  <c r="BC40" i="1" s="1"/>
  <c r="BE40" i="1" s="1"/>
  <c r="F40" i="1" s="1"/>
  <c r="AR40" i="1"/>
  <c r="AM40" i="1"/>
  <c r="AO40" i="1" s="1"/>
  <c r="Y40" i="1"/>
  <c r="Z40" i="1" s="1"/>
  <c r="AP40" i="1" s="1"/>
  <c r="J40" i="1" s="1"/>
  <c r="AY39" i="1"/>
  <c r="AR39" i="1"/>
  <c r="AM39" i="1"/>
  <c r="AO39" i="1" s="1"/>
  <c r="Y39" i="1"/>
  <c r="Z39" i="1" s="1"/>
  <c r="AP39" i="1" s="1"/>
  <c r="J39" i="1" s="1"/>
  <c r="AY38" i="1"/>
  <c r="AR38" i="1"/>
  <c r="AS38" i="1" s="1"/>
  <c r="AM38" i="1"/>
  <c r="AO38" i="1" s="1"/>
  <c r="Y38" i="1"/>
  <c r="Z38" i="1" s="1"/>
  <c r="AY37" i="1"/>
  <c r="AT37" i="1"/>
  <c r="AR37" i="1"/>
  <c r="BC37" i="1" s="1"/>
  <c r="BE37" i="1" s="1"/>
  <c r="F37" i="1" s="1"/>
  <c r="AM37" i="1"/>
  <c r="AO37" i="1" s="1"/>
  <c r="Y37" i="1"/>
  <c r="Z37" i="1" s="1"/>
  <c r="AY36" i="1"/>
  <c r="AR36" i="1"/>
  <c r="BC36" i="1" s="1"/>
  <c r="BE36" i="1" s="1"/>
  <c r="F36" i="1" s="1"/>
  <c r="AM36" i="1"/>
  <c r="AO36" i="1" s="1"/>
  <c r="Y36" i="1"/>
  <c r="Z36" i="1" s="1"/>
  <c r="AY35" i="1"/>
  <c r="AR35" i="1"/>
  <c r="BC35" i="1" s="1"/>
  <c r="BE35" i="1" s="1"/>
  <c r="F35" i="1" s="1"/>
  <c r="AM35" i="1"/>
  <c r="AO35" i="1" s="1"/>
  <c r="Y35" i="1"/>
  <c r="Z35" i="1" s="1"/>
  <c r="AP35" i="1" s="1"/>
  <c r="J35" i="1" s="1"/>
  <c r="AR34" i="1"/>
  <c r="BC34" i="1" s="1"/>
  <c r="BE34" i="1" s="1"/>
  <c r="F34" i="1" s="1"/>
  <c r="AM34" i="1"/>
  <c r="AO34" i="1" s="1"/>
  <c r="Y34" i="1"/>
  <c r="Z34" i="1" s="1"/>
  <c r="AP34" i="1" s="1"/>
  <c r="J34" i="1" s="1"/>
  <c r="AY33" i="1"/>
  <c r="AR33" i="1"/>
  <c r="BC33" i="1" s="1"/>
  <c r="BE33" i="1" s="1"/>
  <c r="F33" i="1" s="1"/>
  <c r="AM33" i="1"/>
  <c r="AO33" i="1" s="1"/>
  <c r="Y33" i="1"/>
  <c r="Z33" i="1" s="1"/>
  <c r="AP33" i="1" s="1"/>
  <c r="J33" i="1" s="1"/>
  <c r="AY32" i="1"/>
  <c r="AR32" i="1"/>
  <c r="BC32" i="1" s="1"/>
  <c r="BE32" i="1" s="1"/>
  <c r="F32" i="1" s="1"/>
  <c r="AM32" i="1"/>
  <c r="AO32" i="1" s="1"/>
  <c r="Y32" i="1"/>
  <c r="Z32" i="1" s="1"/>
  <c r="AP32" i="1" s="1"/>
  <c r="J32" i="1" s="1"/>
  <c r="AY31" i="1"/>
  <c r="AR31" i="1"/>
  <c r="AS31" i="1" s="1"/>
  <c r="AM31" i="1"/>
  <c r="AO31" i="1" s="1"/>
  <c r="Y31" i="1"/>
  <c r="Z31" i="1" s="1"/>
  <c r="AP31" i="1" s="1"/>
  <c r="J31" i="1" s="1"/>
  <c r="AY30" i="1"/>
  <c r="AR30" i="1"/>
  <c r="AM30" i="1"/>
  <c r="AO30" i="1" s="1"/>
  <c r="Y30" i="1"/>
  <c r="Z30" i="1" s="1"/>
  <c r="AY29" i="1"/>
  <c r="AT29" i="1"/>
  <c r="AR29" i="1"/>
  <c r="BC29" i="1" s="1"/>
  <c r="BE29" i="1" s="1"/>
  <c r="F29" i="1" s="1"/>
  <c r="AM29" i="1"/>
  <c r="AO29" i="1" s="1"/>
  <c r="Y29" i="1"/>
  <c r="Z29" i="1" s="1"/>
  <c r="AP29" i="1" s="1"/>
  <c r="J29" i="1" s="1"/>
  <c r="AY28" i="1"/>
  <c r="AR28" i="1"/>
  <c r="BC28" i="1" s="1"/>
  <c r="BE28" i="1" s="1"/>
  <c r="F28" i="1" s="1"/>
  <c r="AM28" i="1"/>
  <c r="AO28" i="1" s="1"/>
  <c r="Y28" i="1"/>
  <c r="Z28" i="1" s="1"/>
  <c r="AP28" i="1" s="1"/>
  <c r="J28" i="1" s="1"/>
  <c r="AY27" i="1"/>
  <c r="AR27" i="1"/>
  <c r="BC27" i="1" s="1"/>
  <c r="BE27" i="1" s="1"/>
  <c r="F27" i="1" s="1"/>
  <c r="AM27" i="1"/>
  <c r="AO27" i="1" s="1"/>
  <c r="Y27" i="1"/>
  <c r="Z27" i="1" s="1"/>
  <c r="AP27" i="1" s="1"/>
  <c r="J27" i="1" s="1"/>
  <c r="AR26" i="1"/>
  <c r="BC26" i="1" s="1"/>
  <c r="BE26" i="1" s="1"/>
  <c r="F26" i="1" s="1"/>
  <c r="AM26" i="1"/>
  <c r="AO26" i="1" s="1"/>
  <c r="Y26" i="1"/>
  <c r="Z26" i="1" s="1"/>
  <c r="AY25" i="1"/>
  <c r="AR25" i="1"/>
  <c r="BC25" i="1" s="1"/>
  <c r="BE25" i="1" s="1"/>
  <c r="F25" i="1" s="1"/>
  <c r="AM25" i="1"/>
  <c r="AO25" i="1" s="1"/>
  <c r="Y25" i="1"/>
  <c r="Z25" i="1" s="1"/>
  <c r="AP25" i="1" s="1"/>
  <c r="J25" i="1" s="1"/>
  <c r="AY24" i="1"/>
  <c r="AR24" i="1"/>
  <c r="BC24" i="1" s="1"/>
  <c r="BE24" i="1" s="1"/>
  <c r="F24" i="1" s="1"/>
  <c r="AM24" i="1"/>
  <c r="AO24" i="1" s="1"/>
  <c r="Y24" i="1"/>
  <c r="Z24" i="1" s="1"/>
  <c r="AP24" i="1" s="1"/>
  <c r="J24" i="1" s="1"/>
  <c r="AY23" i="1"/>
  <c r="AR23" i="1"/>
  <c r="AM23" i="1"/>
  <c r="AO23" i="1" s="1"/>
  <c r="Y23" i="1"/>
  <c r="Z23" i="1" s="1"/>
  <c r="AP23" i="1" s="1"/>
  <c r="J23" i="1" s="1"/>
  <c r="AY22" i="1"/>
  <c r="AR22" i="1"/>
  <c r="AS22" i="1" s="1"/>
  <c r="AT22" i="1" s="1"/>
  <c r="AM22" i="1"/>
  <c r="AO22" i="1" s="1"/>
  <c r="Y22" i="1"/>
  <c r="Z22" i="1" s="1"/>
  <c r="AY21" i="1"/>
  <c r="AT21" i="1"/>
  <c r="AR21" i="1"/>
  <c r="AM21" i="1"/>
  <c r="AO21" i="1" s="1"/>
  <c r="Y21" i="1"/>
  <c r="Z21" i="1" s="1"/>
  <c r="AY20" i="1"/>
  <c r="AR20" i="1"/>
  <c r="BC20" i="1" s="1"/>
  <c r="BE20" i="1" s="1"/>
  <c r="F20" i="1" s="1"/>
  <c r="AM20" i="1"/>
  <c r="AO20" i="1" s="1"/>
  <c r="Y20" i="1"/>
  <c r="Z20" i="1" s="1"/>
  <c r="AP20" i="1" s="1"/>
  <c r="J20" i="1" s="1"/>
  <c r="AY19" i="1"/>
  <c r="AR19" i="1"/>
  <c r="AM19" i="1"/>
  <c r="AO19" i="1" s="1"/>
  <c r="Y19" i="1"/>
  <c r="Z19" i="1" s="1"/>
  <c r="AR18" i="1"/>
  <c r="BC18" i="1" s="1"/>
  <c r="BE18" i="1" s="1"/>
  <c r="F18" i="1" s="1"/>
  <c r="AM18" i="1"/>
  <c r="AO18" i="1" s="1"/>
  <c r="Y18" i="1"/>
  <c r="Z18" i="1" s="1"/>
  <c r="AY17" i="1"/>
  <c r="AR17" i="1"/>
  <c r="AM17" i="1"/>
  <c r="AO17" i="1" s="1"/>
  <c r="Y17" i="1"/>
  <c r="Z17" i="1" s="1"/>
  <c r="AP17" i="1" s="1"/>
  <c r="J17" i="1" s="1"/>
  <c r="AY16" i="1"/>
  <c r="AR16" i="1"/>
  <c r="BC16" i="1" s="1"/>
  <c r="BE16" i="1" s="1"/>
  <c r="F16" i="1" s="1"/>
  <c r="AM16" i="1"/>
  <c r="AO16" i="1" s="1"/>
  <c r="Y16" i="1"/>
  <c r="Z16" i="1" s="1"/>
  <c r="AP16" i="1" s="1"/>
  <c r="J16" i="1" s="1"/>
  <c r="Y9" i="1"/>
  <c r="Z9" i="1"/>
  <c r="AM9" i="1"/>
  <c r="AO9" i="1"/>
  <c r="AP9" i="1"/>
  <c r="AR9" i="1"/>
  <c r="AY9" i="1"/>
  <c r="BC9" i="1"/>
  <c r="BE9" i="1" s="1"/>
  <c r="F9" i="1" s="1"/>
  <c r="Y10" i="1"/>
  <c r="Z10" i="1"/>
  <c r="AM10" i="1"/>
  <c r="AO10" i="1"/>
  <c r="AR10" i="1"/>
  <c r="BC10" i="1"/>
  <c r="BE10" i="1"/>
  <c r="F10" i="1" s="1"/>
  <c r="Y11" i="1"/>
  <c r="Z11" i="1"/>
  <c r="AM11" i="1"/>
  <c r="AO11" i="1"/>
  <c r="AP11" i="1"/>
  <c r="J11" i="1" s="1"/>
  <c r="AR11" i="1"/>
  <c r="AY11" i="1"/>
  <c r="BC11" i="1"/>
  <c r="BE11" i="1"/>
  <c r="F11" i="1" s="1"/>
  <c r="Y12" i="1"/>
  <c r="Z12" i="1" s="1"/>
  <c r="AP12" i="1" s="1"/>
  <c r="J12" i="1" s="1"/>
  <c r="AM12" i="1"/>
  <c r="AO12" i="1"/>
  <c r="AR12" i="1"/>
  <c r="AY12" i="1"/>
  <c r="BC12" i="1"/>
  <c r="BE12" i="1"/>
  <c r="F12" i="1" s="1"/>
  <c r="Y13" i="1"/>
  <c r="Z13" i="1" s="1"/>
  <c r="AM13" i="1"/>
  <c r="AO13" i="1"/>
  <c r="AR13" i="1"/>
  <c r="AT13" i="1"/>
  <c r="AY13" i="1"/>
  <c r="BC13" i="1"/>
  <c r="BE13" i="1"/>
  <c r="F13" i="1" s="1"/>
  <c r="Y14" i="1"/>
  <c r="Z14" i="1"/>
  <c r="AM14" i="1"/>
  <c r="AO14" i="1" s="1"/>
  <c r="AR14" i="1"/>
  <c r="AS14" i="1" s="1"/>
  <c r="AY14" i="1"/>
  <c r="Y15" i="1"/>
  <c r="Z15" i="1"/>
  <c r="AM15" i="1"/>
  <c r="AO15" i="1"/>
  <c r="AP15" i="1"/>
  <c r="J15" i="1" s="1"/>
  <c r="AR15" i="1"/>
  <c r="AS15" i="1"/>
  <c r="AT15" i="1"/>
  <c r="AY15" i="1"/>
  <c r="BC15" i="1"/>
  <c r="BE15" i="1" s="1"/>
  <c r="F15" i="1" s="1"/>
  <c r="AY8" i="1"/>
  <c r="AP84" i="1" l="1"/>
  <c r="J84" i="1" s="1"/>
  <c r="AP14" i="1"/>
  <c r="J14" i="1" s="1"/>
  <c r="AP100" i="1"/>
  <c r="J100" i="1" s="1"/>
  <c r="BH13" i="1"/>
  <c r="I13" i="1"/>
  <c r="BH10" i="1"/>
  <c r="I10" i="1"/>
  <c r="AP53" i="1"/>
  <c r="J53" i="1" s="1"/>
  <c r="BC67" i="1"/>
  <c r="BE67" i="1" s="1"/>
  <c r="F67" i="1" s="1"/>
  <c r="AP68" i="1"/>
  <c r="J68" i="1" s="1"/>
  <c r="AP50" i="1"/>
  <c r="J50" i="1" s="1"/>
  <c r="BC19" i="1"/>
  <c r="BE19" i="1" s="1"/>
  <c r="F19" i="1" s="1"/>
  <c r="AP46" i="1"/>
  <c r="J46" i="1" s="1"/>
  <c r="BC107" i="1"/>
  <c r="BE107" i="1" s="1"/>
  <c r="F107" i="1" s="1"/>
  <c r="AP116" i="1"/>
  <c r="J116" i="1" s="1"/>
  <c r="BC94" i="1"/>
  <c r="BE94" i="1" s="1"/>
  <c r="F94" i="1" s="1"/>
  <c r="AS23" i="1"/>
  <c r="AT23" i="1" s="1"/>
  <c r="BC103" i="1"/>
  <c r="BE103" i="1" s="1"/>
  <c r="F103" i="1" s="1"/>
  <c r="I103" i="1" s="1"/>
  <c r="K103" i="1" s="1"/>
  <c r="AP13" i="1"/>
  <c r="J13" i="1" s="1"/>
  <c r="K13" i="1" s="1"/>
  <c r="AP21" i="1"/>
  <c r="J21" i="1" s="1"/>
  <c r="AP38" i="1"/>
  <c r="J38" i="1" s="1"/>
  <c r="AP47" i="1"/>
  <c r="J47" i="1" s="1"/>
  <c r="BC51" i="1"/>
  <c r="BE51" i="1" s="1"/>
  <c r="F51" i="1" s="1"/>
  <c r="BH51" i="1" s="1"/>
  <c r="BC95" i="1"/>
  <c r="BE95" i="1" s="1"/>
  <c r="F95" i="1" s="1"/>
  <c r="BH95" i="1" s="1"/>
  <c r="BC112" i="1"/>
  <c r="BE112" i="1" s="1"/>
  <c r="F112" i="1" s="1"/>
  <c r="I112" i="1" s="1"/>
  <c r="K112" i="1" s="1"/>
  <c r="AP56" i="1"/>
  <c r="J56" i="1" s="1"/>
  <c r="BC21" i="1"/>
  <c r="BE21" i="1" s="1"/>
  <c r="F21" i="1" s="1"/>
  <c r="BH21" i="1" s="1"/>
  <c r="AP114" i="1"/>
  <c r="J114" i="1" s="1"/>
  <c r="AP19" i="1"/>
  <c r="J19" i="1" s="1"/>
  <c r="AP109" i="1"/>
  <c r="J109" i="1" s="1"/>
  <c r="BC110" i="1"/>
  <c r="BE110" i="1" s="1"/>
  <c r="F110" i="1" s="1"/>
  <c r="BC92" i="1"/>
  <c r="BE92" i="1" s="1"/>
  <c r="F92" i="1" s="1"/>
  <c r="BH92" i="1" s="1"/>
  <c r="AP97" i="1"/>
  <c r="J97" i="1" s="1"/>
  <c r="AP22" i="1"/>
  <c r="J22" i="1" s="1"/>
  <c r="BC17" i="1"/>
  <c r="BE17" i="1" s="1"/>
  <c r="F17" i="1" s="1"/>
  <c r="I17" i="1" s="1"/>
  <c r="K17" i="1" s="1"/>
  <c r="AP26" i="1"/>
  <c r="J26" i="1" s="1"/>
  <c r="AP58" i="1"/>
  <c r="J58" i="1" s="1"/>
  <c r="AP67" i="1"/>
  <c r="J67" i="1" s="1"/>
  <c r="AP37" i="1"/>
  <c r="J37" i="1" s="1"/>
  <c r="AP113" i="1"/>
  <c r="J113" i="1" s="1"/>
  <c r="BC47" i="1"/>
  <c r="BE47" i="1" s="1"/>
  <c r="F47" i="1" s="1"/>
  <c r="I47" i="1" s="1"/>
  <c r="K47" i="1" s="1"/>
  <c r="AP10" i="1"/>
  <c r="J10" i="1" s="1"/>
  <c r="AP93" i="1"/>
  <c r="J93" i="1" s="1"/>
  <c r="AP36" i="1"/>
  <c r="J36" i="1" s="1"/>
  <c r="AP45" i="1"/>
  <c r="J45" i="1" s="1"/>
  <c r="AP49" i="1"/>
  <c r="J49" i="1" s="1"/>
  <c r="BC53" i="1"/>
  <c r="BE53" i="1" s="1"/>
  <c r="F53" i="1" s="1"/>
  <c r="I53" i="1" s="1"/>
  <c r="K53" i="1" s="1"/>
  <c r="BC71" i="1"/>
  <c r="BE71" i="1" s="1"/>
  <c r="F71" i="1" s="1"/>
  <c r="BH71" i="1" s="1"/>
  <c r="BC76" i="1"/>
  <c r="BE76" i="1" s="1"/>
  <c r="F76" i="1" s="1"/>
  <c r="BH76" i="1" s="1"/>
  <c r="AP81" i="1"/>
  <c r="J81" i="1" s="1"/>
  <c r="BC114" i="1"/>
  <c r="BE114" i="1" s="1"/>
  <c r="F114" i="1" s="1"/>
  <c r="I113" i="1"/>
  <c r="K113" i="1" s="1"/>
  <c r="BH113" i="1"/>
  <c r="AT117" i="1"/>
  <c r="BC117" i="1"/>
  <c r="BE117" i="1" s="1"/>
  <c r="F117" i="1" s="1"/>
  <c r="BH106" i="1"/>
  <c r="I106" i="1"/>
  <c r="K106" i="1" s="1"/>
  <c r="I110" i="1"/>
  <c r="K110" i="1" s="1"/>
  <c r="BH110" i="1"/>
  <c r="BH107" i="1"/>
  <c r="I107" i="1"/>
  <c r="K107" i="1" s="1"/>
  <c r="I116" i="1"/>
  <c r="K116" i="1" s="1"/>
  <c r="BH116" i="1"/>
  <c r="BC118" i="1"/>
  <c r="BE118" i="1" s="1"/>
  <c r="F118" i="1" s="1"/>
  <c r="I115" i="1"/>
  <c r="K115" i="1" s="1"/>
  <c r="BH115" i="1"/>
  <c r="BH111" i="1"/>
  <c r="I111" i="1"/>
  <c r="K111" i="1" s="1"/>
  <c r="I108" i="1"/>
  <c r="K108" i="1" s="1"/>
  <c r="BH108" i="1"/>
  <c r="BH104" i="1"/>
  <c r="I104" i="1"/>
  <c r="K104" i="1" s="1"/>
  <c r="I105" i="1"/>
  <c r="K105" i="1" s="1"/>
  <c r="BH105" i="1"/>
  <c r="BH114" i="1"/>
  <c r="I114" i="1"/>
  <c r="BC109" i="1"/>
  <c r="BE109" i="1" s="1"/>
  <c r="F109" i="1" s="1"/>
  <c r="AS118" i="1"/>
  <c r="AT118" i="1" s="1"/>
  <c r="I90" i="1"/>
  <c r="K90" i="1" s="1"/>
  <c r="BH90" i="1"/>
  <c r="BH100" i="1"/>
  <c r="I100" i="1"/>
  <c r="K100" i="1" s="1"/>
  <c r="I87" i="1"/>
  <c r="K87" i="1" s="1"/>
  <c r="BH87" i="1"/>
  <c r="I92" i="1"/>
  <c r="K92" i="1" s="1"/>
  <c r="I96" i="1"/>
  <c r="K96" i="1" s="1"/>
  <c r="BH96" i="1"/>
  <c r="BH88" i="1"/>
  <c r="I88" i="1"/>
  <c r="K88" i="1" s="1"/>
  <c r="AT101" i="1"/>
  <c r="BC101" i="1"/>
  <c r="BE101" i="1" s="1"/>
  <c r="F101" i="1" s="1"/>
  <c r="I97" i="1"/>
  <c r="K97" i="1" s="1"/>
  <c r="BH97" i="1"/>
  <c r="BH89" i="1"/>
  <c r="I89" i="1"/>
  <c r="K89" i="1" s="1"/>
  <c r="BC102" i="1"/>
  <c r="BE102" i="1" s="1"/>
  <c r="F102" i="1" s="1"/>
  <c r="I99" i="1"/>
  <c r="K99" i="1" s="1"/>
  <c r="BH99" i="1"/>
  <c r="I94" i="1"/>
  <c r="BH94" i="1"/>
  <c r="I91" i="1"/>
  <c r="K91" i="1" s="1"/>
  <c r="BH91" i="1"/>
  <c r="I95" i="1"/>
  <c r="K95" i="1" s="1"/>
  <c r="AP90" i="1"/>
  <c r="J90" i="1" s="1"/>
  <c r="AP94" i="1"/>
  <c r="J94" i="1" s="1"/>
  <c r="I98" i="1"/>
  <c r="K98" i="1" s="1"/>
  <c r="BH98" i="1"/>
  <c r="BC93" i="1"/>
  <c r="BE93" i="1" s="1"/>
  <c r="F93" i="1" s="1"/>
  <c r="I73" i="1"/>
  <c r="BH73" i="1"/>
  <c r="BH83" i="1"/>
  <c r="I83" i="1"/>
  <c r="K83" i="1" s="1"/>
  <c r="I78" i="1"/>
  <c r="K78" i="1" s="1"/>
  <c r="BH78" i="1"/>
  <c r="I74" i="1"/>
  <c r="K74" i="1" s="1"/>
  <c r="BH74" i="1"/>
  <c r="BH79" i="1"/>
  <c r="I79" i="1"/>
  <c r="K79" i="1" s="1"/>
  <c r="BH84" i="1"/>
  <c r="I84" i="1"/>
  <c r="K84" i="1" s="1"/>
  <c r="I75" i="1"/>
  <c r="K75" i="1" s="1"/>
  <c r="BH75" i="1"/>
  <c r="I80" i="1"/>
  <c r="K80" i="1" s="1"/>
  <c r="BH80" i="1"/>
  <c r="BH85" i="1"/>
  <c r="I85" i="1"/>
  <c r="K85" i="1" s="1"/>
  <c r="I81" i="1"/>
  <c r="K81" i="1" s="1"/>
  <c r="BH81" i="1"/>
  <c r="BH72" i="1"/>
  <c r="I72" i="1"/>
  <c r="K72" i="1" s="1"/>
  <c r="BH82" i="1"/>
  <c r="I82" i="1"/>
  <c r="K82" i="1" s="1"/>
  <c r="AP73" i="1"/>
  <c r="J73" i="1" s="1"/>
  <c r="AS86" i="1"/>
  <c r="AT86" i="1" s="1"/>
  <c r="AS77" i="1"/>
  <c r="AT77" i="1" s="1"/>
  <c r="I57" i="1"/>
  <c r="K57" i="1" s="1"/>
  <c r="BH57" i="1"/>
  <c r="BH67" i="1"/>
  <c r="I67" i="1"/>
  <c r="BH63" i="1"/>
  <c r="I63" i="1"/>
  <c r="K63" i="1" s="1"/>
  <c r="BH56" i="1"/>
  <c r="I56" i="1"/>
  <c r="AT62" i="1"/>
  <c r="BC62" i="1"/>
  <c r="BE62" i="1" s="1"/>
  <c r="F62" i="1" s="1"/>
  <c r="I58" i="1"/>
  <c r="BH58" i="1"/>
  <c r="BH59" i="1"/>
  <c r="I59" i="1"/>
  <c r="K59" i="1" s="1"/>
  <c r="I68" i="1"/>
  <c r="BH68" i="1"/>
  <c r="I55" i="1"/>
  <c r="K55" i="1" s="1"/>
  <c r="BH55" i="1"/>
  <c r="I64" i="1"/>
  <c r="K64" i="1" s="1"/>
  <c r="BH64" i="1"/>
  <c r="AT69" i="1"/>
  <c r="BC69" i="1"/>
  <c r="BE69" i="1" s="1"/>
  <c r="F69" i="1" s="1"/>
  <c r="I60" i="1"/>
  <c r="K60" i="1" s="1"/>
  <c r="BH60" i="1"/>
  <c r="I65" i="1"/>
  <c r="K65" i="1" s="1"/>
  <c r="BH65" i="1"/>
  <c r="BH66" i="1"/>
  <c r="I66" i="1"/>
  <c r="K66" i="1" s="1"/>
  <c r="AS61" i="1"/>
  <c r="AT61" i="1" s="1"/>
  <c r="BC70" i="1"/>
  <c r="BE70" i="1" s="1"/>
  <c r="F70" i="1" s="1"/>
  <c r="BH42" i="1"/>
  <c r="I42" i="1"/>
  <c r="K42" i="1" s="1"/>
  <c r="BH52" i="1"/>
  <c r="I52" i="1"/>
  <c r="K52" i="1" s="1"/>
  <c r="I43" i="1"/>
  <c r="K43" i="1" s="1"/>
  <c r="BH43" i="1"/>
  <c r="BH44" i="1"/>
  <c r="I44" i="1"/>
  <c r="K44" i="1" s="1"/>
  <c r="I48" i="1"/>
  <c r="K48" i="1" s="1"/>
  <c r="BH48" i="1"/>
  <c r="BH45" i="1"/>
  <c r="I45" i="1"/>
  <c r="I49" i="1"/>
  <c r="BH49" i="1"/>
  <c r="I40" i="1"/>
  <c r="K40" i="1" s="1"/>
  <c r="BH40" i="1"/>
  <c r="AT54" i="1"/>
  <c r="BC54" i="1"/>
  <c r="BE54" i="1" s="1"/>
  <c r="F54" i="1" s="1"/>
  <c r="BH41" i="1"/>
  <c r="I41" i="1"/>
  <c r="K41" i="1" s="1"/>
  <c r="I50" i="1"/>
  <c r="K50" i="1" s="1"/>
  <c r="BH50" i="1"/>
  <c r="I51" i="1"/>
  <c r="K51" i="1" s="1"/>
  <c r="BC46" i="1"/>
  <c r="BE46" i="1" s="1"/>
  <c r="F46" i="1" s="1"/>
  <c r="I26" i="1"/>
  <c r="K26" i="1" s="1"/>
  <c r="BH26" i="1"/>
  <c r="I27" i="1"/>
  <c r="K27" i="1" s="1"/>
  <c r="BH27" i="1"/>
  <c r="I32" i="1"/>
  <c r="K32" i="1" s="1"/>
  <c r="BH32" i="1"/>
  <c r="I29" i="1"/>
  <c r="K29" i="1" s="1"/>
  <c r="BH29" i="1"/>
  <c r="BH35" i="1"/>
  <c r="I35" i="1"/>
  <c r="K35" i="1" s="1"/>
  <c r="BH36" i="1"/>
  <c r="I36" i="1"/>
  <c r="K36" i="1" s="1"/>
  <c r="AT31" i="1"/>
  <c r="BC31" i="1"/>
  <c r="BE31" i="1" s="1"/>
  <c r="F31" i="1" s="1"/>
  <c r="I37" i="1"/>
  <c r="K37" i="1" s="1"/>
  <c r="BH37" i="1"/>
  <c r="BH28" i="1"/>
  <c r="I28" i="1"/>
  <c r="K28" i="1" s="1"/>
  <c r="I33" i="1"/>
  <c r="K33" i="1" s="1"/>
  <c r="BH33" i="1"/>
  <c r="AT38" i="1"/>
  <c r="BC38" i="1"/>
  <c r="BE38" i="1" s="1"/>
  <c r="F38" i="1" s="1"/>
  <c r="I24" i="1"/>
  <c r="K24" i="1" s="1"/>
  <c r="BH24" i="1"/>
  <c r="I34" i="1"/>
  <c r="K34" i="1" s="1"/>
  <c r="BH34" i="1"/>
  <c r="BH25" i="1"/>
  <c r="I25" i="1"/>
  <c r="K25" i="1" s="1"/>
  <c r="AP30" i="1"/>
  <c r="J30" i="1" s="1"/>
  <c r="AS39" i="1"/>
  <c r="AT39" i="1" s="1"/>
  <c r="AS30" i="1"/>
  <c r="AT30" i="1" s="1"/>
  <c r="BH16" i="1"/>
  <c r="I16" i="1"/>
  <c r="K16" i="1" s="1"/>
  <c r="BH17" i="1"/>
  <c r="BH20" i="1"/>
  <c r="I20" i="1"/>
  <c r="K20" i="1" s="1"/>
  <c r="AP18" i="1"/>
  <c r="J18" i="1" s="1"/>
  <c r="I18" i="1"/>
  <c r="K18" i="1" s="1"/>
  <c r="BH18" i="1"/>
  <c r="BH19" i="1"/>
  <c r="I19" i="1"/>
  <c r="BC22" i="1"/>
  <c r="BE22" i="1" s="1"/>
  <c r="F22" i="1" s="1"/>
  <c r="I12" i="1"/>
  <c r="K12" i="1" s="1"/>
  <c r="BH12" i="1"/>
  <c r="AT14" i="1"/>
  <c r="I9" i="1"/>
  <c r="BH9" i="1"/>
  <c r="BH11" i="1"/>
  <c r="I11" i="1"/>
  <c r="K11" i="1" s="1"/>
  <c r="BH15" i="1"/>
  <c r="I15" i="1"/>
  <c r="K15" i="1" s="1"/>
  <c r="BC14" i="1"/>
  <c r="BE14" i="1" s="1"/>
  <c r="F14" i="1" s="1"/>
  <c r="J9" i="1"/>
  <c r="AR8" i="1"/>
  <c r="K56" i="1" l="1"/>
  <c r="I76" i="1"/>
  <c r="K76" i="1" s="1"/>
  <c r="BH112" i="1"/>
  <c r="I21" i="1"/>
  <c r="K21" i="1" s="1"/>
  <c r="I71" i="1"/>
  <c r="K71" i="1" s="1"/>
  <c r="BH103" i="1"/>
  <c r="K58" i="1"/>
  <c r="BC23" i="1"/>
  <c r="BE23" i="1" s="1"/>
  <c r="F23" i="1" s="1"/>
  <c r="K49" i="1"/>
  <c r="K45" i="1"/>
  <c r="BH53" i="1"/>
  <c r="K67" i="1"/>
  <c r="K19" i="1"/>
  <c r="BH47" i="1"/>
  <c r="K10" i="1"/>
  <c r="K68" i="1"/>
  <c r="K114" i="1"/>
  <c r="I109" i="1"/>
  <c r="K109" i="1" s="1"/>
  <c r="BH109" i="1"/>
  <c r="BH118" i="1"/>
  <c r="I118" i="1"/>
  <c r="K118" i="1" s="1"/>
  <c r="BH117" i="1"/>
  <c r="I117" i="1"/>
  <c r="K117" i="1" s="1"/>
  <c r="BH102" i="1"/>
  <c r="I102" i="1"/>
  <c r="K102" i="1" s="1"/>
  <c r="BH101" i="1"/>
  <c r="I101" i="1"/>
  <c r="K101" i="1" s="1"/>
  <c r="BH93" i="1"/>
  <c r="I93" i="1"/>
  <c r="K93" i="1" s="1"/>
  <c r="K94" i="1"/>
  <c r="BC86" i="1"/>
  <c r="BE86" i="1" s="1"/>
  <c r="F86" i="1" s="1"/>
  <c r="BC77" i="1"/>
  <c r="BE77" i="1" s="1"/>
  <c r="F77" i="1" s="1"/>
  <c r="K73" i="1"/>
  <c r="BH70" i="1"/>
  <c r="I70" i="1"/>
  <c r="K70" i="1" s="1"/>
  <c r="I62" i="1"/>
  <c r="K62" i="1" s="1"/>
  <c r="BH62" i="1"/>
  <c r="BC61" i="1"/>
  <c r="BE61" i="1" s="1"/>
  <c r="F61" i="1" s="1"/>
  <c r="I69" i="1"/>
  <c r="K69" i="1" s="1"/>
  <c r="BH69" i="1"/>
  <c r="I46" i="1"/>
  <c r="K46" i="1" s="1"/>
  <c r="BH46" i="1"/>
  <c r="BH54" i="1"/>
  <c r="I54" i="1"/>
  <c r="K54" i="1" s="1"/>
  <c r="BC39" i="1"/>
  <c r="BE39" i="1" s="1"/>
  <c r="F39" i="1" s="1"/>
  <c r="I31" i="1"/>
  <c r="K31" i="1" s="1"/>
  <c r="BH31" i="1"/>
  <c r="BC30" i="1"/>
  <c r="BE30" i="1" s="1"/>
  <c r="F30" i="1" s="1"/>
  <c r="BH38" i="1"/>
  <c r="I38" i="1"/>
  <c r="K38" i="1" s="1"/>
  <c r="I22" i="1"/>
  <c r="K22" i="1" s="1"/>
  <c r="BH22" i="1"/>
  <c r="BH14" i="1"/>
  <c r="I14" i="1"/>
  <c r="K14" i="1" s="1"/>
  <c r="K9" i="1"/>
  <c r="AM8" i="1"/>
  <c r="AO8" i="1" s="1"/>
  <c r="BH23" i="1" l="1"/>
  <c r="I23" i="1"/>
  <c r="K23" i="1" s="1"/>
  <c r="I77" i="1"/>
  <c r="K77" i="1" s="1"/>
  <c r="BH77" i="1"/>
  <c r="BH86" i="1"/>
  <c r="I86" i="1"/>
  <c r="K86" i="1" s="1"/>
  <c r="I61" i="1"/>
  <c r="K61" i="1" s="1"/>
  <c r="BH61" i="1"/>
  <c r="BH30" i="1"/>
  <c r="I30" i="1"/>
  <c r="K30" i="1" s="1"/>
  <c r="BH39" i="1"/>
  <c r="I39" i="1"/>
  <c r="K39" i="1" s="1"/>
  <c r="BC8" i="1"/>
  <c r="BE8" i="1" s="1"/>
  <c r="F8" i="1" s="1"/>
  <c r="Y8" i="1"/>
  <c r="Z8" i="1" s="1"/>
  <c r="AP8" i="1" s="1"/>
  <c r="I8" i="1" l="1"/>
  <c r="BH8" i="1"/>
  <c r="J8" i="1"/>
  <c r="K8" i="1" l="1"/>
</calcChain>
</file>

<file path=xl/sharedStrings.xml><?xml version="1.0" encoding="utf-8"?>
<sst xmlns="http://schemas.openxmlformats.org/spreadsheetml/2006/main" count="193" uniqueCount="68">
  <si>
    <t>SL</t>
  </si>
  <si>
    <t>Name of the Subscriber</t>
  </si>
  <si>
    <t>Contribution</t>
  </si>
  <si>
    <t>Interest</t>
  </si>
  <si>
    <t xml:space="preserve"> Openning Balance</t>
  </si>
  <si>
    <t>Stagnant Balance (2.5%)</t>
  </si>
  <si>
    <t>Openning Interest</t>
  </si>
  <si>
    <t>PF Loan Openning Balance</t>
  </si>
  <si>
    <t>PF Loan Distribution During The Year</t>
  </si>
  <si>
    <t xml:space="preserve">Total LoanPaid </t>
  </si>
  <si>
    <t>Total loan during</t>
  </si>
  <si>
    <t>Name of Month</t>
  </si>
  <si>
    <t>July</t>
  </si>
  <si>
    <t>August</t>
  </si>
  <si>
    <t>Sept.</t>
  </si>
  <si>
    <t>Oct.</t>
  </si>
  <si>
    <t>Nov.</t>
  </si>
  <si>
    <t>March</t>
  </si>
  <si>
    <t>April</t>
  </si>
  <si>
    <t>May</t>
  </si>
  <si>
    <t>June</t>
  </si>
  <si>
    <t>Dr.Md.Yunus,SRF</t>
  </si>
  <si>
    <t>Dr.S.M.Zulfiqar Ali, SRF.</t>
  </si>
  <si>
    <t>Dr. Nazneen Ahmed, SRF</t>
  </si>
  <si>
    <t>Dr. S.M. Z. Islam Chowdhury, RF</t>
  </si>
  <si>
    <t>Md. Harunur Rashid Bhuyan, RF</t>
  </si>
  <si>
    <t xml:space="preserve">Ms. Laboni Farzana Hoque, Catalogar </t>
  </si>
  <si>
    <t>Mr. Abdullah Al Mamun</t>
  </si>
  <si>
    <t>Dec</t>
  </si>
  <si>
    <t>Jan</t>
  </si>
  <si>
    <t>Feb</t>
  </si>
  <si>
    <t>2022-23</t>
  </si>
  <si>
    <t>Total loan Recovery By Salary '22-23</t>
  </si>
  <si>
    <t>Loan Rev.by Bank 22-23</t>
  </si>
  <si>
    <t>Total Recovery 22-23</t>
  </si>
  <si>
    <t>Bal.of loan as on'30.06.23</t>
  </si>
  <si>
    <t>Contribution For the FY 23-24</t>
  </si>
  <si>
    <t>PF Month Wise Details Contribution FY23-24</t>
  </si>
  <si>
    <t>July'2023</t>
  </si>
  <si>
    <t>Aug'2023</t>
  </si>
  <si>
    <t>Sept'2023</t>
  </si>
  <si>
    <t>Oct'2023</t>
  </si>
  <si>
    <t>Nov'2023</t>
  </si>
  <si>
    <t>Dec'2023</t>
  </si>
  <si>
    <t>Jan'2024</t>
  </si>
  <si>
    <t>Feb'2024</t>
  </si>
  <si>
    <t>Mar'2024</t>
  </si>
  <si>
    <t>Apr'2024</t>
  </si>
  <si>
    <t>May'2024</t>
  </si>
  <si>
    <t>June'2024</t>
  </si>
  <si>
    <t>PF Loan Recovery from Salary FY23-24</t>
  </si>
  <si>
    <t>Dec.2023</t>
  </si>
  <si>
    <t>March'2024</t>
  </si>
  <si>
    <t>April'2024</t>
  </si>
  <si>
    <t>Member's Total Balance 30.06.24</t>
  </si>
  <si>
    <t>Temp.Withdrawal Balance on'30.06.24</t>
  </si>
  <si>
    <t xml:space="preserve"> Net Mem.Bal.As on'30.06.2024</t>
  </si>
  <si>
    <t>01.07.2023</t>
  </si>
  <si>
    <t>Temporary withdrawal for F|Y2023-2024</t>
  </si>
  <si>
    <t>2023-24</t>
  </si>
  <si>
    <t>Total Conrtibution FY 23-24</t>
  </si>
  <si>
    <t>Arear cont.23-24</t>
  </si>
  <si>
    <t>Total cont. For 23-24</t>
  </si>
  <si>
    <t>Interest Amount Balance on FY 22-23</t>
  </si>
  <si>
    <t>Humayra Ahmed, RA</t>
  </si>
  <si>
    <t>ID</t>
  </si>
  <si>
    <t>BIDS Provident Fund for the F/Y 2023-24 (01.07.2023 to 30.06.2024)</t>
  </si>
  <si>
    <t>Mr. Abdullah Al Mamun, 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</si>
</sst>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/>
    <xf numFmtId="43" fontId="2" fillId="0" borderId="1" xfId="1" applyFont="1" applyBorder="1"/>
    <xf numFmtId="0" fontId="2" fillId="2" borderId="1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43" fontId="2" fillId="3" borderId="1" xfId="1" quotePrefix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43" fontId="2" fillId="0" borderId="0" xfId="0" applyNumberFormat="1" applyFont="1"/>
    <xf numFmtId="0" fontId="2" fillId="3" borderId="1" xfId="0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center"/>
    </xf>
    <xf numFmtId="43" fontId="2" fillId="0" borderId="1" xfId="0" applyNumberFormat="1" applyFont="1" applyBorder="1"/>
    <xf numFmtId="43" fontId="2" fillId="0" borderId="1" xfId="1" applyFont="1" applyFill="1" applyBorder="1"/>
    <xf numFmtId="43" fontId="2" fillId="0" borderId="6" xfId="1" applyFont="1" applyBorder="1"/>
    <xf numFmtId="43" fontId="2" fillId="5" borderId="1" xfId="0" applyNumberFormat="1" applyFont="1" applyFill="1" applyBorder="1"/>
    <xf numFmtId="43" fontId="2" fillId="5" borderId="1" xfId="1" applyFont="1" applyFill="1" applyBorder="1"/>
    <xf numFmtId="0" fontId="2" fillId="5" borderId="1" xfId="0" applyFont="1" applyFill="1" applyBorder="1"/>
    <xf numFmtId="0" fontId="2" fillId="5" borderId="0" xfId="0" applyFont="1" applyFill="1"/>
    <xf numFmtId="43" fontId="2" fillId="5" borderId="0" xfId="1" applyFont="1" applyFill="1"/>
    <xf numFmtId="43" fontId="2" fillId="0" borderId="6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43" fontId="2" fillId="7" borderId="1" xfId="1" quotePrefix="1" applyFont="1" applyFill="1" applyBorder="1" applyAlignment="1">
      <alignment horizontal="center"/>
    </xf>
    <xf numFmtId="0" fontId="2" fillId="7" borderId="1" xfId="0" quotePrefix="1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/>
    </xf>
    <xf numFmtId="0" fontId="3" fillId="7" borderId="1" xfId="0" quotePrefix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 wrapText="1"/>
    </xf>
    <xf numFmtId="0" fontId="3" fillId="4" borderId="3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118"/>
  <sheetViews>
    <sheetView tabSelected="1" view="pageBreakPreview" topLeftCell="A2" zoomScaleNormal="100" zoomScaleSheetLayoutView="100" workbookViewId="0">
      <pane xSplit="3" ySplit="6" topLeftCell="D98" activePane="bottomRight" state="frozen"/>
      <selection activeCell="B2" sqref="B2"/>
      <selection pane="topRight" activeCell="C2" sqref="C2"/>
      <selection pane="bottomLeft" activeCell="B8" sqref="B8"/>
      <selection pane="bottomRight" activeCell="F111" sqref="F111"/>
    </sheetView>
  </sheetViews>
  <sheetFormatPr defaultRowHeight="12.75" x14ac:dyDescent="0.2"/>
  <cols>
    <col min="1" max="2" width="6.85546875" style="2" customWidth="1"/>
    <col min="3" max="3" width="27.5703125" style="2" customWidth="1"/>
    <col min="4" max="4" width="21.7109375" style="2" customWidth="1"/>
    <col min="5" max="5" width="15.42578125" style="2" customWidth="1"/>
    <col min="6" max="6" width="18.140625" style="2" customWidth="1"/>
    <col min="7" max="7" width="16.140625" style="2" customWidth="1"/>
    <col min="8" max="8" width="13" style="2" customWidth="1"/>
    <col min="9" max="9" width="13.7109375" style="2" customWidth="1"/>
    <col min="10" max="10" width="14.85546875" style="2" customWidth="1"/>
    <col min="11" max="11" width="15.42578125" style="2" customWidth="1"/>
    <col min="12" max="12" width="14.7109375" style="2" customWidth="1"/>
    <col min="13" max="13" width="13.140625" style="21" customWidth="1"/>
    <col min="14" max="14" width="12.85546875" style="20" customWidth="1"/>
    <col min="15" max="15" width="12.7109375" style="20" customWidth="1"/>
    <col min="16" max="16" width="12.140625" style="20" customWidth="1"/>
    <col min="17" max="17" width="11.85546875" style="21" customWidth="1"/>
    <col min="18" max="18" width="11.85546875" style="20" customWidth="1"/>
    <col min="19" max="19" width="13.7109375" style="21" customWidth="1"/>
    <col min="20" max="20" width="12.5703125" style="20" customWidth="1"/>
    <col min="21" max="21" width="13.42578125" style="20" customWidth="1"/>
    <col min="22" max="23" width="12.42578125" style="20" customWidth="1"/>
    <col min="24" max="24" width="12" style="21" customWidth="1"/>
    <col min="25" max="25" width="12.85546875" style="2" customWidth="1"/>
    <col min="26" max="26" width="14" style="2" customWidth="1"/>
    <col min="27" max="27" width="11.7109375" style="2" customWidth="1"/>
    <col min="28" max="28" width="12.140625" style="2" customWidth="1"/>
    <col min="29" max="29" width="12.42578125" style="2" customWidth="1"/>
    <col min="30" max="34" width="12.7109375" style="2" customWidth="1"/>
    <col min="35" max="35" width="12.5703125" style="2" customWidth="1"/>
    <col min="36" max="36" width="11.5703125" style="2" customWidth="1"/>
    <col min="37" max="37" width="12.5703125" style="2" customWidth="1"/>
    <col min="38" max="38" width="12" style="2" customWidth="1"/>
    <col min="39" max="39" width="13.5703125" style="2" customWidth="1"/>
    <col min="40" max="40" width="15.85546875" style="2" customWidth="1"/>
    <col min="41" max="41" width="12.7109375" style="2" customWidth="1"/>
    <col min="42" max="42" width="14.5703125" style="2" customWidth="1"/>
    <col min="43" max="43" width="14.140625" style="2" customWidth="1"/>
    <col min="44" max="44" width="11.85546875" style="2" customWidth="1"/>
    <col min="45" max="45" width="12.7109375" style="2" customWidth="1"/>
    <col min="46" max="46" width="12.5703125" style="2" customWidth="1"/>
    <col min="47" max="47" width="12.42578125" style="2" customWidth="1"/>
    <col min="48" max="48" width="13.42578125" style="2" customWidth="1"/>
    <col min="49" max="49" width="12.85546875" style="2" customWidth="1"/>
    <col min="50" max="52" width="12.7109375" style="2" customWidth="1"/>
    <col min="53" max="53" width="12.5703125" style="2" customWidth="1"/>
    <col min="54" max="54" width="12.28515625" style="20" customWidth="1"/>
    <col min="55" max="55" width="12.85546875" style="2" customWidth="1"/>
    <col min="56" max="56" width="18.5703125" style="2" customWidth="1"/>
    <col min="57" max="57" width="13.85546875" style="2" customWidth="1"/>
    <col min="58" max="59" width="9.140625" style="2"/>
    <col min="60" max="60" width="15.42578125" style="2" customWidth="1"/>
    <col min="61" max="16384" width="9.140625" style="2"/>
  </cols>
  <sheetData>
    <row r="1" spans="1:60" hidden="1" x14ac:dyDescent="0.2">
      <c r="A1" s="1"/>
      <c r="B1" s="1"/>
      <c r="L1" s="3"/>
      <c r="M1" s="18"/>
      <c r="N1" s="19"/>
      <c r="O1" s="19"/>
      <c r="P1" s="19"/>
      <c r="Q1" s="18"/>
      <c r="R1" s="19"/>
      <c r="S1" s="18"/>
      <c r="T1" s="19"/>
      <c r="U1" s="19"/>
      <c r="V1" s="19"/>
      <c r="W1" s="19"/>
      <c r="X1" s="18"/>
      <c r="Y1" s="3"/>
      <c r="Z1" s="3"/>
    </row>
    <row r="2" spans="1:60" x14ac:dyDescent="0.2">
      <c r="A2" s="29" t="s">
        <v>0</v>
      </c>
      <c r="B2" s="39" t="s">
        <v>65</v>
      </c>
      <c r="C2" s="30" t="s">
        <v>1</v>
      </c>
      <c r="D2" s="31" t="s">
        <v>66</v>
      </c>
      <c r="E2" s="31"/>
      <c r="F2" s="31"/>
      <c r="G2" s="31"/>
      <c r="H2" s="31"/>
      <c r="I2" s="31"/>
      <c r="J2" s="31"/>
      <c r="K2" s="31"/>
      <c r="L2" s="32" t="s">
        <v>58</v>
      </c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 t="s">
        <v>50</v>
      </c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42" t="s">
        <v>32</v>
      </c>
      <c r="AN2" s="42" t="s">
        <v>33</v>
      </c>
      <c r="AO2" s="42" t="s">
        <v>34</v>
      </c>
      <c r="AP2" s="42" t="s">
        <v>35</v>
      </c>
      <c r="AQ2" s="48" t="s">
        <v>37</v>
      </c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9" t="s">
        <v>60</v>
      </c>
      <c r="BD2" s="47" t="s">
        <v>61</v>
      </c>
      <c r="BE2" s="47" t="s">
        <v>62</v>
      </c>
    </row>
    <row r="3" spans="1:60" x14ac:dyDescent="0.2">
      <c r="A3" s="29"/>
      <c r="B3" s="40"/>
      <c r="C3" s="30"/>
      <c r="D3" s="43" t="s">
        <v>2</v>
      </c>
      <c r="E3" s="43"/>
      <c r="F3" s="43"/>
      <c r="G3" s="43" t="s">
        <v>3</v>
      </c>
      <c r="H3" s="43"/>
      <c r="I3" s="5"/>
      <c r="J3" s="5"/>
      <c r="K3" s="5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42"/>
      <c r="AN3" s="42"/>
      <c r="AO3" s="42"/>
      <c r="AP3" s="42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50"/>
      <c r="BD3" s="47"/>
      <c r="BE3" s="47"/>
    </row>
    <row r="4" spans="1:60" x14ac:dyDescent="0.2">
      <c r="A4" s="29"/>
      <c r="B4" s="40"/>
      <c r="C4" s="30"/>
      <c r="D4" s="35" t="s">
        <v>4</v>
      </c>
      <c r="E4" s="35" t="s">
        <v>5</v>
      </c>
      <c r="F4" s="35" t="s">
        <v>36</v>
      </c>
      <c r="G4" s="35" t="s">
        <v>6</v>
      </c>
      <c r="H4" s="35" t="s">
        <v>63</v>
      </c>
      <c r="I4" s="35" t="s">
        <v>54</v>
      </c>
      <c r="J4" s="35" t="s">
        <v>55</v>
      </c>
      <c r="K4" s="35" t="s">
        <v>56</v>
      </c>
      <c r="L4" s="36" t="s">
        <v>7</v>
      </c>
      <c r="M4" s="37" t="s">
        <v>8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 t="s">
        <v>9</v>
      </c>
      <c r="Z4" s="38" t="s">
        <v>10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42"/>
      <c r="AN4" s="42"/>
      <c r="AO4" s="42"/>
      <c r="AP4" s="42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50"/>
      <c r="BD4" s="47"/>
      <c r="BE4" s="47"/>
    </row>
    <row r="5" spans="1:60" x14ac:dyDescent="0.2">
      <c r="A5" s="29"/>
      <c r="B5" s="40"/>
      <c r="C5" s="30"/>
      <c r="D5" s="35"/>
      <c r="E5" s="35"/>
      <c r="F5" s="35"/>
      <c r="G5" s="35"/>
      <c r="H5" s="35"/>
      <c r="I5" s="35"/>
      <c r="J5" s="35"/>
      <c r="K5" s="35"/>
      <c r="L5" s="36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8"/>
      <c r="AA5" s="44" t="s">
        <v>11</v>
      </c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2"/>
      <c r="AN5" s="42"/>
      <c r="AO5" s="42"/>
      <c r="AP5" s="42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50"/>
      <c r="BD5" s="47"/>
      <c r="BE5" s="47"/>
    </row>
    <row r="6" spans="1:60" x14ac:dyDescent="0.2">
      <c r="A6" s="29"/>
      <c r="B6" s="40"/>
      <c r="C6" s="30"/>
      <c r="D6" s="35"/>
      <c r="E6" s="35"/>
      <c r="F6" s="35"/>
      <c r="G6" s="35"/>
      <c r="H6" s="35"/>
      <c r="I6" s="35"/>
      <c r="J6" s="35"/>
      <c r="K6" s="35"/>
      <c r="L6" s="36"/>
      <c r="M6" s="45" t="s">
        <v>11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38"/>
      <c r="Z6" s="38"/>
      <c r="AA6" s="6" t="s">
        <v>12</v>
      </c>
      <c r="AB6" s="12" t="s">
        <v>13</v>
      </c>
      <c r="AC6" s="12" t="s">
        <v>14</v>
      </c>
      <c r="AD6" s="12" t="s">
        <v>15</v>
      </c>
      <c r="AE6" s="12" t="s">
        <v>16</v>
      </c>
      <c r="AF6" s="12" t="s">
        <v>28</v>
      </c>
      <c r="AG6" s="12" t="s">
        <v>29</v>
      </c>
      <c r="AH6" s="12" t="s">
        <v>30</v>
      </c>
      <c r="AI6" s="12" t="s">
        <v>17</v>
      </c>
      <c r="AJ6" s="12" t="s">
        <v>18</v>
      </c>
      <c r="AK6" s="12" t="s">
        <v>19</v>
      </c>
      <c r="AL6" s="7" t="s">
        <v>20</v>
      </c>
      <c r="AM6" s="42"/>
      <c r="AN6" s="42"/>
      <c r="AO6" s="42"/>
      <c r="AP6" s="42"/>
      <c r="AQ6" s="46" t="s">
        <v>11</v>
      </c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50"/>
      <c r="BD6" s="47"/>
      <c r="BE6" s="47"/>
    </row>
    <row r="7" spans="1:60" x14ac:dyDescent="0.2">
      <c r="A7" s="29"/>
      <c r="B7" s="41"/>
      <c r="C7" s="30"/>
      <c r="D7" s="35"/>
      <c r="E7" s="35"/>
      <c r="F7" s="35"/>
      <c r="G7" s="35"/>
      <c r="H7" s="35"/>
      <c r="I7" s="35"/>
      <c r="J7" s="35"/>
      <c r="K7" s="35"/>
      <c r="L7" s="27" t="s">
        <v>57</v>
      </c>
      <c r="M7" s="26" t="s">
        <v>38</v>
      </c>
      <c r="N7" s="27" t="s">
        <v>39</v>
      </c>
      <c r="O7" s="27" t="s">
        <v>40</v>
      </c>
      <c r="P7" s="27" t="s">
        <v>41</v>
      </c>
      <c r="Q7" s="27" t="s">
        <v>42</v>
      </c>
      <c r="R7" s="27" t="s">
        <v>51</v>
      </c>
      <c r="S7" s="27" t="s">
        <v>44</v>
      </c>
      <c r="T7" s="27" t="s">
        <v>45</v>
      </c>
      <c r="U7" s="27" t="s">
        <v>52</v>
      </c>
      <c r="V7" s="27" t="s">
        <v>53</v>
      </c>
      <c r="W7" s="27" t="s">
        <v>48</v>
      </c>
      <c r="X7" s="26" t="s">
        <v>49</v>
      </c>
      <c r="Y7" s="25" t="s">
        <v>59</v>
      </c>
      <c r="Z7" s="25" t="s">
        <v>31</v>
      </c>
      <c r="AA7" s="8" t="s">
        <v>38</v>
      </c>
      <c r="AB7" s="9" t="s">
        <v>39</v>
      </c>
      <c r="AC7" s="9" t="s">
        <v>40</v>
      </c>
      <c r="AD7" s="9" t="s">
        <v>41</v>
      </c>
      <c r="AE7" s="9" t="s">
        <v>42</v>
      </c>
      <c r="AF7" s="9" t="s">
        <v>51</v>
      </c>
      <c r="AG7" s="9" t="s">
        <v>44</v>
      </c>
      <c r="AH7" s="9" t="s">
        <v>45</v>
      </c>
      <c r="AI7" s="9" t="s">
        <v>52</v>
      </c>
      <c r="AJ7" s="9" t="s">
        <v>53</v>
      </c>
      <c r="AK7" s="9" t="s">
        <v>48</v>
      </c>
      <c r="AL7" s="9" t="s">
        <v>49</v>
      </c>
      <c r="AM7" s="42"/>
      <c r="AN7" s="42"/>
      <c r="AO7" s="42"/>
      <c r="AP7" s="42"/>
      <c r="AQ7" s="13" t="s">
        <v>38</v>
      </c>
      <c r="AR7" s="10" t="s">
        <v>39</v>
      </c>
      <c r="AS7" s="10" t="s">
        <v>40</v>
      </c>
      <c r="AT7" s="10" t="s">
        <v>41</v>
      </c>
      <c r="AU7" s="13" t="s">
        <v>42</v>
      </c>
      <c r="AV7" s="10" t="s">
        <v>43</v>
      </c>
      <c r="AW7" s="10" t="s">
        <v>44</v>
      </c>
      <c r="AX7" s="10" t="s">
        <v>45</v>
      </c>
      <c r="AY7" s="10" t="s">
        <v>46</v>
      </c>
      <c r="AZ7" s="10" t="s">
        <v>47</v>
      </c>
      <c r="BA7" s="10" t="s">
        <v>48</v>
      </c>
      <c r="BB7" s="28" t="s">
        <v>49</v>
      </c>
      <c r="BC7" s="51"/>
      <c r="BD7" s="47"/>
      <c r="BE7" s="47"/>
    </row>
    <row r="8" spans="1:60" x14ac:dyDescent="0.2">
      <c r="A8" s="23">
        <v>1</v>
      </c>
      <c r="B8" s="23">
        <v>1</v>
      </c>
      <c r="C8" s="3" t="s">
        <v>21</v>
      </c>
      <c r="D8" s="14">
        <v>1322069.1499999999</v>
      </c>
      <c r="E8" s="4">
        <v>0</v>
      </c>
      <c r="F8" s="4">
        <f t="shared" ref="F8:F13" si="0">BE8</f>
        <v>128642</v>
      </c>
      <c r="G8" s="4">
        <v>1291167.3999999999</v>
      </c>
      <c r="H8" s="14"/>
      <c r="I8" s="4">
        <f t="shared" ref="I8:I13" si="1">D8+E8+F8+G8+H8</f>
        <v>2741878.55</v>
      </c>
      <c r="J8" s="4">
        <f t="shared" ref="J8:J13" si="2">AP8</f>
        <v>0</v>
      </c>
      <c r="K8" s="15">
        <f t="shared" ref="K8:K13" si="3">SUM(I8-J8)</f>
        <v>2741878.55</v>
      </c>
      <c r="L8" s="4">
        <v>90000</v>
      </c>
      <c r="M8" s="18">
        <v>0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4">
        <f t="shared" ref="Y8:Y13" si="4">SUM(M8:X8)</f>
        <v>0</v>
      </c>
      <c r="Z8" s="4">
        <f t="shared" ref="Z8:Z13" si="5">SUM(L8,Y8)</f>
        <v>90000</v>
      </c>
      <c r="AA8" s="16">
        <v>10000</v>
      </c>
      <c r="AB8" s="16">
        <v>10000</v>
      </c>
      <c r="AC8" s="16">
        <v>10000</v>
      </c>
      <c r="AD8" s="16">
        <v>10000</v>
      </c>
      <c r="AE8" s="16">
        <v>10000</v>
      </c>
      <c r="AF8" s="22">
        <v>10000</v>
      </c>
      <c r="AG8" s="16">
        <v>10000</v>
      </c>
      <c r="AH8" s="16">
        <v>10000</v>
      </c>
      <c r="AI8" s="16">
        <v>10000</v>
      </c>
      <c r="AJ8" s="16"/>
      <c r="AK8" s="16"/>
      <c r="AL8" s="16"/>
      <c r="AM8" s="4">
        <f t="shared" ref="AM8:AM13" si="6">AA8+AB8+AC8+AD8+AE8+AF8+AG8+AH8+AI8+AJ8+AK8+AL8</f>
        <v>90000</v>
      </c>
      <c r="AN8" s="4"/>
      <c r="AO8" s="4">
        <f t="shared" ref="AO8:AO13" si="7">AM8+AN8</f>
        <v>90000</v>
      </c>
      <c r="AP8" s="4">
        <f t="shared" ref="AP8:AP13" si="8">Z8-AO8</f>
        <v>0</v>
      </c>
      <c r="AQ8" s="4">
        <v>10680</v>
      </c>
      <c r="AR8" s="4">
        <f>AQ8</f>
        <v>10680</v>
      </c>
      <c r="AS8" s="4">
        <v>10680</v>
      </c>
      <c r="AT8" s="4">
        <v>10762.5</v>
      </c>
      <c r="AU8" s="4">
        <v>10729.5</v>
      </c>
      <c r="AV8" s="4">
        <v>10730</v>
      </c>
      <c r="AW8" s="4">
        <v>10730</v>
      </c>
      <c r="AX8" s="4">
        <v>10730</v>
      </c>
      <c r="AY8" s="4">
        <f>AX8</f>
        <v>10730</v>
      </c>
      <c r="AZ8" s="4">
        <v>10730</v>
      </c>
      <c r="BA8" s="4">
        <v>10730</v>
      </c>
      <c r="BB8" s="18">
        <v>10730</v>
      </c>
      <c r="BC8" s="4">
        <f t="shared" ref="BC8:BC13" si="9">SUM(AQ8:BB8)</f>
        <v>128642</v>
      </c>
      <c r="BD8" s="4"/>
      <c r="BE8" s="4">
        <f t="shared" ref="BE8:BE13" si="10">BC8+BD8</f>
        <v>128642</v>
      </c>
      <c r="BF8" s="11"/>
      <c r="BH8" s="11">
        <f t="shared" ref="BH8:BH13" si="11">D8+F8</f>
        <v>1450711.15</v>
      </c>
    </row>
    <row r="9" spans="1:60" x14ac:dyDescent="0.2">
      <c r="A9" s="23">
        <v>2</v>
      </c>
      <c r="B9" s="23">
        <v>2</v>
      </c>
      <c r="C9" s="24" t="s">
        <v>22</v>
      </c>
      <c r="D9" s="14">
        <v>1370369.5699999998</v>
      </c>
      <c r="E9" s="4">
        <v>0</v>
      </c>
      <c r="F9" s="4">
        <f t="shared" si="0"/>
        <v>128642</v>
      </c>
      <c r="G9" s="4">
        <v>1497672.47</v>
      </c>
      <c r="H9" s="14"/>
      <c r="I9" s="4">
        <f t="shared" si="1"/>
        <v>2996684.04</v>
      </c>
      <c r="J9" s="4">
        <f t="shared" si="2"/>
        <v>0</v>
      </c>
      <c r="K9" s="15">
        <f t="shared" si="3"/>
        <v>2996684.04</v>
      </c>
      <c r="L9" s="4">
        <v>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4">
        <f t="shared" si="4"/>
        <v>0</v>
      </c>
      <c r="Z9" s="4">
        <f t="shared" si="5"/>
        <v>0</v>
      </c>
      <c r="AA9" s="16"/>
      <c r="AB9" s="16"/>
      <c r="AC9" s="16"/>
      <c r="AD9" s="16"/>
      <c r="AE9" s="16"/>
      <c r="AF9" s="22"/>
      <c r="AG9" s="16"/>
      <c r="AH9" s="16"/>
      <c r="AI9" s="16"/>
      <c r="AJ9" s="16"/>
      <c r="AK9" s="16"/>
      <c r="AL9" s="16"/>
      <c r="AM9" s="4">
        <f t="shared" si="6"/>
        <v>0</v>
      </c>
      <c r="AN9" s="4"/>
      <c r="AO9" s="4">
        <f t="shared" si="7"/>
        <v>0</v>
      </c>
      <c r="AP9" s="4">
        <f t="shared" si="8"/>
        <v>0</v>
      </c>
      <c r="AQ9" s="4">
        <v>10680</v>
      </c>
      <c r="AR9" s="4">
        <f t="shared" ref="AR9:AR13" si="12">AQ9</f>
        <v>10680</v>
      </c>
      <c r="AS9" s="4">
        <v>10680</v>
      </c>
      <c r="AT9" s="4">
        <v>10762.5</v>
      </c>
      <c r="AU9" s="4">
        <v>10729.5</v>
      </c>
      <c r="AV9" s="4">
        <v>10730</v>
      </c>
      <c r="AW9" s="4">
        <v>10730</v>
      </c>
      <c r="AX9" s="4">
        <v>10730</v>
      </c>
      <c r="AY9" s="4">
        <f>AX9</f>
        <v>10730</v>
      </c>
      <c r="AZ9" s="4">
        <v>10730</v>
      </c>
      <c r="BA9" s="4">
        <v>10730</v>
      </c>
      <c r="BB9" s="18">
        <v>10730</v>
      </c>
      <c r="BC9" s="4">
        <f t="shared" si="9"/>
        <v>128642</v>
      </c>
      <c r="BD9" s="4"/>
      <c r="BE9" s="4">
        <f t="shared" si="10"/>
        <v>128642</v>
      </c>
      <c r="BF9" s="11"/>
      <c r="BH9" s="11">
        <f t="shared" si="11"/>
        <v>1499011.5699999998</v>
      </c>
    </row>
    <row r="10" spans="1:60" x14ac:dyDescent="0.2">
      <c r="A10" s="23">
        <v>3</v>
      </c>
      <c r="B10" s="23">
        <v>3</v>
      </c>
      <c r="C10" s="3" t="s">
        <v>23</v>
      </c>
      <c r="D10" s="14">
        <v>1336586.07</v>
      </c>
      <c r="E10" s="4">
        <v>0</v>
      </c>
      <c r="F10" s="4">
        <f t="shared" si="0"/>
        <v>0</v>
      </c>
      <c r="G10" s="4">
        <v>956905.63</v>
      </c>
      <c r="H10" s="17"/>
      <c r="I10" s="4">
        <f t="shared" si="1"/>
        <v>2293491.7000000002</v>
      </c>
      <c r="J10" s="4">
        <f t="shared" si="2"/>
        <v>200000</v>
      </c>
      <c r="K10" s="15">
        <f t="shared" si="3"/>
        <v>2093491.7000000002</v>
      </c>
      <c r="L10" s="4">
        <v>200000</v>
      </c>
      <c r="M10" s="18"/>
      <c r="N10" s="18"/>
      <c r="O10" s="18"/>
      <c r="P10" s="18"/>
      <c r="Q10" s="18"/>
      <c r="R10" s="18"/>
      <c r="S10" s="18"/>
      <c r="U10" s="18"/>
      <c r="V10" s="18"/>
      <c r="W10" s="18"/>
      <c r="X10" s="18"/>
      <c r="Y10" s="4">
        <f t="shared" si="4"/>
        <v>0</v>
      </c>
      <c r="Z10" s="4">
        <f t="shared" si="5"/>
        <v>200000</v>
      </c>
      <c r="AA10" s="16"/>
      <c r="AB10" s="16"/>
      <c r="AC10" s="16"/>
      <c r="AD10" s="16"/>
      <c r="AE10" s="16"/>
      <c r="AF10" s="22"/>
      <c r="AG10" s="16"/>
      <c r="AH10" s="16"/>
      <c r="AI10" s="16"/>
      <c r="AJ10" s="16"/>
      <c r="AK10" s="16"/>
      <c r="AL10" s="16"/>
      <c r="AM10" s="4">
        <f t="shared" si="6"/>
        <v>0</v>
      </c>
      <c r="AN10" s="4"/>
      <c r="AO10" s="4">
        <f t="shared" si="7"/>
        <v>0</v>
      </c>
      <c r="AP10" s="4">
        <f t="shared" si="8"/>
        <v>200000</v>
      </c>
      <c r="AQ10" s="4"/>
      <c r="AR10" s="4">
        <f t="shared" si="12"/>
        <v>0</v>
      </c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>
        <f t="shared" si="9"/>
        <v>0</v>
      </c>
      <c r="BD10" s="4"/>
      <c r="BE10" s="4">
        <f t="shared" si="10"/>
        <v>0</v>
      </c>
      <c r="BF10" s="11"/>
      <c r="BH10" s="11">
        <f t="shared" si="11"/>
        <v>1336586.07</v>
      </c>
    </row>
    <row r="11" spans="1:60" x14ac:dyDescent="0.2">
      <c r="A11" s="23">
        <v>7</v>
      </c>
      <c r="B11" s="23">
        <v>7</v>
      </c>
      <c r="C11" s="3" t="s">
        <v>24</v>
      </c>
      <c r="D11" s="14">
        <v>549035.57999999996</v>
      </c>
      <c r="E11" s="4">
        <v>0</v>
      </c>
      <c r="F11" s="4">
        <f t="shared" si="0"/>
        <v>69444</v>
      </c>
      <c r="G11" s="4">
        <v>385718.55</v>
      </c>
      <c r="H11" s="14"/>
      <c r="I11" s="4">
        <f t="shared" si="1"/>
        <v>1004198.1299999999</v>
      </c>
      <c r="J11" s="4">
        <f t="shared" si="2"/>
        <v>0</v>
      </c>
      <c r="K11" s="15">
        <f t="shared" si="3"/>
        <v>1004198.1299999999</v>
      </c>
      <c r="L11" s="4">
        <v>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">
        <f t="shared" si="4"/>
        <v>0</v>
      </c>
      <c r="Z11" s="4">
        <f t="shared" si="5"/>
        <v>0</v>
      </c>
      <c r="AA11" s="16"/>
      <c r="AB11" s="16"/>
      <c r="AC11" s="16"/>
      <c r="AD11" s="16"/>
      <c r="AE11" s="16"/>
      <c r="AF11" s="22"/>
      <c r="AG11" s="16"/>
      <c r="AH11" s="16"/>
      <c r="AI11" s="16"/>
      <c r="AJ11" s="16"/>
      <c r="AK11" s="16"/>
      <c r="AL11" s="16"/>
      <c r="AM11" s="4">
        <f t="shared" si="6"/>
        <v>0</v>
      </c>
      <c r="AN11" s="4"/>
      <c r="AO11" s="4">
        <f t="shared" si="7"/>
        <v>0</v>
      </c>
      <c r="AP11" s="4">
        <f t="shared" si="8"/>
        <v>0</v>
      </c>
      <c r="AQ11" s="4">
        <v>5787</v>
      </c>
      <c r="AR11" s="4">
        <f t="shared" si="12"/>
        <v>5787</v>
      </c>
      <c r="AS11" s="4">
        <v>5787</v>
      </c>
      <c r="AT11" s="4">
        <v>5787</v>
      </c>
      <c r="AU11" s="4">
        <v>5787</v>
      </c>
      <c r="AV11" s="4">
        <v>5787</v>
      </c>
      <c r="AW11" s="4">
        <v>5787</v>
      </c>
      <c r="AX11" s="4">
        <v>5787</v>
      </c>
      <c r="AY11" s="4">
        <f>AX11</f>
        <v>5787</v>
      </c>
      <c r="AZ11" s="4">
        <v>5787</v>
      </c>
      <c r="BA11" s="4">
        <v>5787</v>
      </c>
      <c r="BB11" s="18">
        <v>5787</v>
      </c>
      <c r="BC11" s="4">
        <f t="shared" si="9"/>
        <v>69444</v>
      </c>
      <c r="BD11" s="4"/>
      <c r="BE11" s="4">
        <f t="shared" si="10"/>
        <v>69444</v>
      </c>
      <c r="BF11" s="11"/>
      <c r="BH11" s="11">
        <f t="shared" si="11"/>
        <v>618479.57999999996</v>
      </c>
    </row>
    <row r="12" spans="1:60" x14ac:dyDescent="0.2">
      <c r="A12" s="23">
        <v>8</v>
      </c>
      <c r="B12" s="23">
        <v>8</v>
      </c>
      <c r="C12" s="3" t="s">
        <v>25</v>
      </c>
      <c r="D12" s="14">
        <v>634574.13</v>
      </c>
      <c r="E12" s="4">
        <v>0</v>
      </c>
      <c r="F12" s="4">
        <f t="shared" si="0"/>
        <v>76752</v>
      </c>
      <c r="G12" s="4">
        <v>472229.22</v>
      </c>
      <c r="H12" s="14"/>
      <c r="I12" s="4">
        <f t="shared" si="1"/>
        <v>1183555.3500000001</v>
      </c>
      <c r="J12" s="4">
        <f t="shared" si="2"/>
        <v>544000</v>
      </c>
      <c r="K12" s="15">
        <f t="shared" si="3"/>
        <v>639555.35000000009</v>
      </c>
      <c r="L12" s="4">
        <v>736000</v>
      </c>
      <c r="M12" s="18"/>
      <c r="N12" s="18"/>
      <c r="O12" s="18"/>
      <c r="P12" s="18"/>
      <c r="Q12" s="18"/>
      <c r="R12" s="18"/>
      <c r="S12" s="18"/>
      <c r="T12" s="15"/>
      <c r="U12" s="18"/>
      <c r="V12" s="18"/>
      <c r="W12" s="18"/>
      <c r="X12" s="18"/>
      <c r="Y12" s="4">
        <f t="shared" si="4"/>
        <v>0</v>
      </c>
      <c r="Z12" s="4">
        <f t="shared" si="5"/>
        <v>736000</v>
      </c>
      <c r="AA12" s="16">
        <v>16000</v>
      </c>
      <c r="AB12" s="16">
        <v>16000</v>
      </c>
      <c r="AC12" s="16">
        <v>16000</v>
      </c>
      <c r="AD12" s="16">
        <v>16000</v>
      </c>
      <c r="AE12" s="16">
        <v>16000</v>
      </c>
      <c r="AF12" s="22">
        <v>16000</v>
      </c>
      <c r="AG12" s="16">
        <v>16000</v>
      </c>
      <c r="AH12" s="16">
        <v>16000</v>
      </c>
      <c r="AI12" s="16">
        <v>16000</v>
      </c>
      <c r="AJ12" s="16">
        <v>16000</v>
      </c>
      <c r="AK12" s="16">
        <v>16000</v>
      </c>
      <c r="AL12" s="16">
        <v>16000</v>
      </c>
      <c r="AM12" s="4">
        <f t="shared" si="6"/>
        <v>192000</v>
      </c>
      <c r="AN12" s="4"/>
      <c r="AO12" s="4">
        <f t="shared" si="7"/>
        <v>192000</v>
      </c>
      <c r="AP12" s="4">
        <f t="shared" si="8"/>
        <v>544000</v>
      </c>
      <c r="AQ12" s="4">
        <v>6396</v>
      </c>
      <c r="AR12" s="4">
        <f t="shared" si="12"/>
        <v>6396</v>
      </c>
      <c r="AS12" s="4">
        <v>6396</v>
      </c>
      <c r="AT12" s="4">
        <v>6396</v>
      </c>
      <c r="AU12" s="4">
        <v>6396</v>
      </c>
      <c r="AV12" s="4">
        <v>6396</v>
      </c>
      <c r="AW12" s="4">
        <v>6396</v>
      </c>
      <c r="AX12" s="4">
        <v>6396</v>
      </c>
      <c r="AY12" s="4">
        <f>AX12</f>
        <v>6396</v>
      </c>
      <c r="AZ12" s="4">
        <v>6396</v>
      </c>
      <c r="BA12" s="4">
        <v>6396</v>
      </c>
      <c r="BB12" s="18">
        <v>6396</v>
      </c>
      <c r="BC12" s="4">
        <f t="shared" si="9"/>
        <v>76752</v>
      </c>
      <c r="BD12" s="4"/>
      <c r="BE12" s="4">
        <f t="shared" si="10"/>
        <v>76752</v>
      </c>
      <c r="BF12" s="11"/>
      <c r="BH12" s="11">
        <f t="shared" si="11"/>
        <v>711326.13</v>
      </c>
    </row>
    <row r="13" spans="1:60" x14ac:dyDescent="0.2">
      <c r="A13" s="23">
        <v>10</v>
      </c>
      <c r="B13" s="23">
        <v>10</v>
      </c>
      <c r="C13" s="3" t="s">
        <v>64</v>
      </c>
      <c r="D13" s="14">
        <v>608785.5</v>
      </c>
      <c r="E13" s="4">
        <v>0</v>
      </c>
      <c r="F13" s="4">
        <f t="shared" si="0"/>
        <v>26523</v>
      </c>
      <c r="G13" s="4">
        <v>490390.97</v>
      </c>
      <c r="H13" s="14"/>
      <c r="I13" s="4">
        <f t="shared" si="1"/>
        <v>1125699.47</v>
      </c>
      <c r="J13" s="4">
        <f t="shared" si="2"/>
        <v>921890</v>
      </c>
      <c r="K13" s="15">
        <f t="shared" si="3"/>
        <v>203809.46999999997</v>
      </c>
      <c r="L13" s="4">
        <v>656000</v>
      </c>
      <c r="M13" s="18"/>
      <c r="N13" s="18">
        <v>323000</v>
      </c>
      <c r="O13" s="18"/>
      <c r="P13" s="18"/>
      <c r="Q13" s="18"/>
      <c r="R13" s="18"/>
      <c r="S13" s="18">
        <v>175000</v>
      </c>
      <c r="T13" s="18"/>
      <c r="U13" s="18"/>
      <c r="V13" s="18"/>
      <c r="W13" s="18"/>
      <c r="X13" s="18"/>
      <c r="Y13" s="4">
        <f t="shared" si="4"/>
        <v>498000</v>
      </c>
      <c r="Z13" s="4">
        <f t="shared" si="5"/>
        <v>1154000</v>
      </c>
      <c r="AA13" s="16">
        <v>16000</v>
      </c>
      <c r="AB13" s="16">
        <v>16000</v>
      </c>
      <c r="AC13" s="16">
        <v>19000</v>
      </c>
      <c r="AD13" s="16">
        <v>19000</v>
      </c>
      <c r="AE13" s="16">
        <v>19000</v>
      </c>
      <c r="AF13" s="22">
        <v>19000</v>
      </c>
      <c r="AG13" s="16">
        <v>18935</v>
      </c>
      <c r="AH13" s="16">
        <v>18935</v>
      </c>
      <c r="AI13" s="16">
        <v>18935</v>
      </c>
      <c r="AJ13" s="16">
        <v>22435</v>
      </c>
      <c r="AK13" s="16">
        <v>22435</v>
      </c>
      <c r="AL13" s="16">
        <v>22435</v>
      </c>
      <c r="AM13" s="4">
        <f t="shared" si="6"/>
        <v>232110</v>
      </c>
      <c r="AN13" s="4"/>
      <c r="AO13" s="4">
        <f t="shared" si="7"/>
        <v>232110</v>
      </c>
      <c r="AP13" s="4">
        <f t="shared" si="8"/>
        <v>921890</v>
      </c>
      <c r="AQ13" s="4">
        <v>2077.5</v>
      </c>
      <c r="AR13" s="4">
        <f t="shared" si="12"/>
        <v>2077.5</v>
      </c>
      <c r="AS13" s="4">
        <v>2077.5</v>
      </c>
      <c r="AT13" s="4">
        <f>AS13</f>
        <v>2077.5</v>
      </c>
      <c r="AU13" s="4">
        <v>2077.5</v>
      </c>
      <c r="AV13" s="4">
        <v>2077.5</v>
      </c>
      <c r="AW13" s="4">
        <v>2078</v>
      </c>
      <c r="AX13" s="4">
        <v>2078</v>
      </c>
      <c r="AY13" s="4">
        <f>AX13</f>
        <v>2078</v>
      </c>
      <c r="AZ13" s="4">
        <v>2608</v>
      </c>
      <c r="BA13" s="4">
        <v>2608</v>
      </c>
      <c r="BB13" s="18">
        <v>2608</v>
      </c>
      <c r="BC13" s="4">
        <f t="shared" si="9"/>
        <v>26523</v>
      </c>
      <c r="BD13" s="4"/>
      <c r="BE13" s="4">
        <f t="shared" si="10"/>
        <v>26523</v>
      </c>
      <c r="BF13" s="11"/>
      <c r="BH13" s="11">
        <f t="shared" si="11"/>
        <v>635308.5</v>
      </c>
    </row>
    <row r="14" spans="1:60" x14ac:dyDescent="0.2">
      <c r="A14" s="23">
        <v>107</v>
      </c>
      <c r="B14" s="23">
        <v>107</v>
      </c>
      <c r="C14" s="3" t="s">
        <v>26</v>
      </c>
      <c r="D14" s="14">
        <v>246493.61</v>
      </c>
      <c r="E14" s="4">
        <v>0</v>
      </c>
      <c r="F14" s="4">
        <f t="shared" ref="F14:F21" si="13">BE14</f>
        <v>29844</v>
      </c>
      <c r="G14" s="4">
        <v>75887.91</v>
      </c>
      <c r="H14" s="3"/>
      <c r="I14" s="4">
        <f t="shared" ref="I14:I21" si="14">D14+E14+F14+G14+H14</f>
        <v>352225.52</v>
      </c>
      <c r="J14" s="4">
        <f t="shared" ref="J14:J21" si="15">AP14</f>
        <v>165460</v>
      </c>
      <c r="K14" s="15">
        <f t="shared" ref="K14:K21" si="16">SUM(I14-J14)</f>
        <v>186765.52000000002</v>
      </c>
      <c r="L14" s="4">
        <v>136004</v>
      </c>
      <c r="M14" s="18"/>
      <c r="N14" s="19"/>
      <c r="O14" s="19"/>
      <c r="P14" s="15"/>
      <c r="Q14" s="15"/>
      <c r="R14" s="15">
        <v>30000</v>
      </c>
      <c r="S14" s="15"/>
      <c r="T14" s="3"/>
      <c r="U14" s="15"/>
      <c r="V14" s="15"/>
      <c r="W14" s="15"/>
      <c r="X14" s="18">
        <v>40000</v>
      </c>
      <c r="Y14" s="4">
        <f>SUM(M14:X14)</f>
        <v>70000</v>
      </c>
      <c r="Z14" s="4">
        <f t="shared" ref="Z14:Z21" si="17">SUM(L14,Y14)</f>
        <v>206004</v>
      </c>
      <c r="AA14" s="4">
        <v>3160</v>
      </c>
      <c r="AB14" s="4">
        <v>3160</v>
      </c>
      <c r="AC14" s="4">
        <v>3160</v>
      </c>
      <c r="AD14" s="4">
        <v>3160</v>
      </c>
      <c r="AE14" s="4">
        <v>3160</v>
      </c>
      <c r="AF14" s="15">
        <v>3160</v>
      </c>
      <c r="AG14" s="4">
        <v>3164</v>
      </c>
      <c r="AH14" s="4">
        <v>3164</v>
      </c>
      <c r="AI14" s="4">
        <v>3164</v>
      </c>
      <c r="AJ14" s="4">
        <v>3764</v>
      </c>
      <c r="AK14" s="4">
        <v>3764</v>
      </c>
      <c r="AL14" s="4">
        <v>4564</v>
      </c>
      <c r="AM14" s="4">
        <f t="shared" ref="AM14:AM21" si="18">AA14+AB14+AC14+AD14+AE14+AF14+AG14+AH14+AI14+AJ14+AK14+AL14</f>
        <v>40544</v>
      </c>
      <c r="AN14" s="4"/>
      <c r="AO14" s="4">
        <f t="shared" ref="AO14:AO21" si="19">AM14+AN14</f>
        <v>40544</v>
      </c>
      <c r="AP14" s="4">
        <f t="shared" ref="AP14:AP21" si="20">Z14-AO14</f>
        <v>165460</v>
      </c>
      <c r="AQ14" s="4">
        <v>2487</v>
      </c>
      <c r="AR14" s="4">
        <f t="shared" ref="AR14:AR15" si="21">AQ14</f>
        <v>2487</v>
      </c>
      <c r="AS14" s="4">
        <f t="shared" ref="AS14" si="22">AR14</f>
        <v>2487</v>
      </c>
      <c r="AT14" s="4">
        <f t="shared" ref="AT14" si="23">AS14</f>
        <v>2487</v>
      </c>
      <c r="AU14" s="4">
        <v>2487</v>
      </c>
      <c r="AV14" s="4">
        <v>2487</v>
      </c>
      <c r="AW14" s="4">
        <v>2487</v>
      </c>
      <c r="AX14" s="4">
        <v>2487</v>
      </c>
      <c r="AY14" s="4">
        <f t="shared" ref="AY14:AY15" si="24">AX14</f>
        <v>2487</v>
      </c>
      <c r="AZ14" s="4">
        <v>2487</v>
      </c>
      <c r="BA14" s="4">
        <v>2487</v>
      </c>
      <c r="BB14" s="18">
        <v>2487</v>
      </c>
      <c r="BC14" s="4">
        <f t="shared" ref="BC14:BC21" si="25">SUM(AQ14:BB14)</f>
        <v>29844</v>
      </c>
      <c r="BD14" s="4"/>
      <c r="BE14" s="4">
        <f t="shared" ref="BE14:BE21" si="26">BC14+BD14</f>
        <v>29844</v>
      </c>
      <c r="BF14" s="11"/>
      <c r="BH14" s="11">
        <f t="shared" ref="BH14:BH21" si="27">D14+F14</f>
        <v>276337.61</v>
      </c>
    </row>
    <row r="15" spans="1:60" x14ac:dyDescent="0.2">
      <c r="A15" s="23">
        <v>108</v>
      </c>
      <c r="B15" s="23">
        <v>108</v>
      </c>
      <c r="C15" s="3" t="s">
        <v>27</v>
      </c>
      <c r="D15" s="14">
        <v>30684</v>
      </c>
      <c r="E15" s="4">
        <v>0</v>
      </c>
      <c r="F15" s="4">
        <f t="shared" si="13"/>
        <v>16512</v>
      </c>
      <c r="G15" s="4">
        <v>10541.79</v>
      </c>
      <c r="H15" s="3"/>
      <c r="I15" s="4">
        <f t="shared" si="14"/>
        <v>57737.79</v>
      </c>
      <c r="J15" s="4">
        <f t="shared" si="15"/>
        <v>0</v>
      </c>
      <c r="K15" s="15">
        <f t="shared" si="16"/>
        <v>57737.79</v>
      </c>
      <c r="L15" s="3">
        <v>0</v>
      </c>
      <c r="M15" s="18"/>
      <c r="N15" s="19"/>
      <c r="O15" s="19"/>
      <c r="P15" s="15"/>
      <c r="Q15" s="15"/>
      <c r="R15" s="15"/>
      <c r="S15" s="15"/>
      <c r="T15" s="3"/>
      <c r="U15" s="15"/>
      <c r="V15" s="15"/>
      <c r="W15" s="15"/>
      <c r="X15" s="18"/>
      <c r="Y15" s="4">
        <f>SUM(M15:X15)</f>
        <v>0</v>
      </c>
      <c r="Z15" s="4">
        <f t="shared" si="17"/>
        <v>0</v>
      </c>
      <c r="AA15" s="4"/>
      <c r="AB15" s="4"/>
      <c r="AC15" s="4"/>
      <c r="AD15" s="4"/>
      <c r="AE15" s="4"/>
      <c r="AF15" s="15"/>
      <c r="AG15" s="4"/>
      <c r="AH15" s="4"/>
      <c r="AI15" s="4"/>
      <c r="AJ15" s="4"/>
      <c r="AK15" s="4"/>
      <c r="AL15" s="4"/>
      <c r="AM15" s="4">
        <f t="shared" si="18"/>
        <v>0</v>
      </c>
      <c r="AN15" s="4"/>
      <c r="AO15" s="4">
        <f t="shared" si="19"/>
        <v>0</v>
      </c>
      <c r="AP15" s="4">
        <f t="shared" si="20"/>
        <v>0</v>
      </c>
      <c r="AQ15" s="4">
        <v>1376</v>
      </c>
      <c r="AR15" s="4">
        <f t="shared" si="21"/>
        <v>1376</v>
      </c>
      <c r="AS15" s="4">
        <f t="shared" ref="AS15:AT15" si="28">AR15</f>
        <v>1376</v>
      </c>
      <c r="AT15" s="4">
        <f t="shared" si="28"/>
        <v>1376</v>
      </c>
      <c r="AU15" s="4">
        <v>1376</v>
      </c>
      <c r="AV15" s="4">
        <v>1376</v>
      </c>
      <c r="AW15" s="4">
        <v>1376</v>
      </c>
      <c r="AX15" s="4">
        <v>1376</v>
      </c>
      <c r="AY15" s="4">
        <f t="shared" si="24"/>
        <v>1376</v>
      </c>
      <c r="AZ15" s="4">
        <v>1376</v>
      </c>
      <c r="BA15" s="4">
        <v>1376</v>
      </c>
      <c r="BB15" s="18">
        <v>1376</v>
      </c>
      <c r="BC15" s="4">
        <f t="shared" si="25"/>
        <v>16512</v>
      </c>
      <c r="BD15" s="4"/>
      <c r="BE15" s="4">
        <f t="shared" si="26"/>
        <v>16512</v>
      </c>
      <c r="BF15" s="11"/>
      <c r="BH15" s="11">
        <f t="shared" si="27"/>
        <v>47196</v>
      </c>
    </row>
    <row r="16" spans="1:60" x14ac:dyDescent="0.2">
      <c r="A16" s="23">
        <v>1</v>
      </c>
      <c r="B16" s="23">
        <v>1</v>
      </c>
      <c r="C16" s="3" t="s">
        <v>21</v>
      </c>
      <c r="D16" s="14">
        <v>1322069.1499999999</v>
      </c>
      <c r="E16" s="4">
        <v>0</v>
      </c>
      <c r="F16" s="4">
        <f t="shared" si="13"/>
        <v>128642</v>
      </c>
      <c r="G16" s="4">
        <v>1291167.3999999999</v>
      </c>
      <c r="H16" s="14"/>
      <c r="I16" s="4">
        <f t="shared" si="14"/>
        <v>2741878.55</v>
      </c>
      <c r="J16" s="4">
        <f t="shared" si="15"/>
        <v>0</v>
      </c>
      <c r="K16" s="15">
        <f t="shared" si="16"/>
        <v>2741878.55</v>
      </c>
      <c r="L16" s="4">
        <v>90000</v>
      </c>
      <c r="M16" s="18">
        <v>0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4">
        <f t="shared" ref="Y16:Y21" si="29">SUM(M16:X16)</f>
        <v>0</v>
      </c>
      <c r="Z16" s="4">
        <f t="shared" si="17"/>
        <v>90000</v>
      </c>
      <c r="AA16" s="16">
        <v>10000</v>
      </c>
      <c r="AB16" s="16">
        <v>10000</v>
      </c>
      <c r="AC16" s="16">
        <v>10000</v>
      </c>
      <c r="AD16" s="16">
        <v>10000</v>
      </c>
      <c r="AE16" s="16">
        <v>10000</v>
      </c>
      <c r="AF16" s="22">
        <v>10000</v>
      </c>
      <c r="AG16" s="16">
        <v>10000</v>
      </c>
      <c r="AH16" s="16">
        <v>10000</v>
      </c>
      <c r="AI16" s="16">
        <v>10000</v>
      </c>
      <c r="AJ16" s="16"/>
      <c r="AK16" s="16"/>
      <c r="AL16" s="16"/>
      <c r="AM16" s="4">
        <f t="shared" si="18"/>
        <v>90000</v>
      </c>
      <c r="AN16" s="4"/>
      <c r="AO16" s="4">
        <f t="shared" si="19"/>
        <v>90000</v>
      </c>
      <c r="AP16" s="4">
        <f t="shared" si="20"/>
        <v>0</v>
      </c>
      <c r="AQ16" s="4">
        <v>10680</v>
      </c>
      <c r="AR16" s="4">
        <f>AQ16</f>
        <v>10680</v>
      </c>
      <c r="AS16" s="4">
        <v>10680</v>
      </c>
      <c r="AT16" s="4">
        <v>10762.5</v>
      </c>
      <c r="AU16" s="4">
        <v>10729.5</v>
      </c>
      <c r="AV16" s="4">
        <v>10730</v>
      </c>
      <c r="AW16" s="4">
        <v>10730</v>
      </c>
      <c r="AX16" s="4">
        <v>10730</v>
      </c>
      <c r="AY16" s="4">
        <f>AX16</f>
        <v>10730</v>
      </c>
      <c r="AZ16" s="4">
        <v>10730</v>
      </c>
      <c r="BA16" s="4">
        <v>10730</v>
      </c>
      <c r="BB16" s="18">
        <v>10730</v>
      </c>
      <c r="BC16" s="4">
        <f t="shared" si="25"/>
        <v>128642</v>
      </c>
      <c r="BD16" s="4"/>
      <c r="BE16" s="4">
        <f t="shared" si="26"/>
        <v>128642</v>
      </c>
      <c r="BF16" s="11"/>
      <c r="BH16" s="11">
        <f t="shared" si="27"/>
        <v>1450711.15</v>
      </c>
    </row>
    <row r="17" spans="1:60" x14ac:dyDescent="0.2">
      <c r="A17" s="23">
        <v>2</v>
      </c>
      <c r="B17" s="23">
        <v>2</v>
      </c>
      <c r="C17" s="24" t="s">
        <v>22</v>
      </c>
      <c r="D17" s="14">
        <v>1370369.5699999998</v>
      </c>
      <c r="E17" s="4">
        <v>0</v>
      </c>
      <c r="F17" s="4">
        <f t="shared" si="13"/>
        <v>128642</v>
      </c>
      <c r="G17" s="4">
        <v>1497672.47</v>
      </c>
      <c r="H17" s="14"/>
      <c r="I17" s="4">
        <f t="shared" si="14"/>
        <v>2996684.04</v>
      </c>
      <c r="J17" s="4">
        <f t="shared" si="15"/>
        <v>0</v>
      </c>
      <c r="K17" s="15">
        <f t="shared" si="16"/>
        <v>2996684.04</v>
      </c>
      <c r="L17" s="4">
        <v>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4">
        <f t="shared" si="29"/>
        <v>0</v>
      </c>
      <c r="Z17" s="4">
        <f t="shared" si="17"/>
        <v>0</v>
      </c>
      <c r="AA17" s="16"/>
      <c r="AB17" s="16"/>
      <c r="AC17" s="16"/>
      <c r="AD17" s="16"/>
      <c r="AE17" s="16"/>
      <c r="AF17" s="22"/>
      <c r="AG17" s="16"/>
      <c r="AH17" s="16"/>
      <c r="AI17" s="16"/>
      <c r="AJ17" s="16"/>
      <c r="AK17" s="16"/>
      <c r="AL17" s="16"/>
      <c r="AM17" s="4">
        <f t="shared" si="18"/>
        <v>0</v>
      </c>
      <c r="AN17" s="4"/>
      <c r="AO17" s="4">
        <f t="shared" si="19"/>
        <v>0</v>
      </c>
      <c r="AP17" s="4">
        <f t="shared" si="20"/>
        <v>0</v>
      </c>
      <c r="AQ17" s="4">
        <v>10680</v>
      </c>
      <c r="AR17" s="4">
        <f t="shared" ref="AR17:AR23" si="30">AQ17</f>
        <v>10680</v>
      </c>
      <c r="AS17" s="4">
        <v>10680</v>
      </c>
      <c r="AT17" s="4">
        <v>10762.5</v>
      </c>
      <c r="AU17" s="4">
        <v>10729.5</v>
      </c>
      <c r="AV17" s="4">
        <v>10730</v>
      </c>
      <c r="AW17" s="4">
        <v>10730</v>
      </c>
      <c r="AX17" s="4">
        <v>10730</v>
      </c>
      <c r="AY17" s="4">
        <f>AX17</f>
        <v>10730</v>
      </c>
      <c r="AZ17" s="4">
        <v>10730</v>
      </c>
      <c r="BA17" s="4">
        <v>10730</v>
      </c>
      <c r="BB17" s="18">
        <v>10730</v>
      </c>
      <c r="BC17" s="4">
        <f t="shared" si="25"/>
        <v>128642</v>
      </c>
      <c r="BD17" s="4"/>
      <c r="BE17" s="4">
        <f t="shared" si="26"/>
        <v>128642</v>
      </c>
      <c r="BF17" s="11"/>
      <c r="BH17" s="11">
        <f t="shared" si="27"/>
        <v>1499011.5699999998</v>
      </c>
    </row>
    <row r="18" spans="1:60" x14ac:dyDescent="0.2">
      <c r="A18" s="23">
        <v>3</v>
      </c>
      <c r="B18" s="23">
        <v>3</v>
      </c>
      <c r="C18" s="3" t="s">
        <v>23</v>
      </c>
      <c r="D18" s="14">
        <v>1336586.07</v>
      </c>
      <c r="E18" s="4">
        <v>0</v>
      </c>
      <c r="F18" s="4">
        <f t="shared" si="13"/>
        <v>0</v>
      </c>
      <c r="G18" s="4">
        <v>956905.63</v>
      </c>
      <c r="H18" s="17"/>
      <c r="I18" s="4">
        <f t="shared" si="14"/>
        <v>2293491.7000000002</v>
      </c>
      <c r="J18" s="4">
        <f t="shared" si="15"/>
        <v>200000</v>
      </c>
      <c r="K18" s="15">
        <f t="shared" si="16"/>
        <v>2093491.7000000002</v>
      </c>
      <c r="L18" s="4">
        <v>200000</v>
      </c>
      <c r="M18" s="18"/>
      <c r="N18" s="18"/>
      <c r="O18" s="18"/>
      <c r="P18" s="18"/>
      <c r="Q18" s="18"/>
      <c r="R18" s="18"/>
      <c r="S18" s="18"/>
      <c r="U18" s="18"/>
      <c r="V18" s="18"/>
      <c r="W18" s="18"/>
      <c r="X18" s="18"/>
      <c r="Y18" s="4">
        <f t="shared" si="29"/>
        <v>0</v>
      </c>
      <c r="Z18" s="4">
        <f t="shared" si="17"/>
        <v>200000</v>
      </c>
      <c r="AA18" s="16"/>
      <c r="AB18" s="16"/>
      <c r="AC18" s="16"/>
      <c r="AD18" s="16"/>
      <c r="AE18" s="16"/>
      <c r="AF18" s="22"/>
      <c r="AG18" s="16"/>
      <c r="AH18" s="16"/>
      <c r="AI18" s="16"/>
      <c r="AJ18" s="16"/>
      <c r="AK18" s="16"/>
      <c r="AL18" s="16"/>
      <c r="AM18" s="4">
        <f t="shared" si="18"/>
        <v>0</v>
      </c>
      <c r="AN18" s="4"/>
      <c r="AO18" s="4">
        <f t="shared" si="19"/>
        <v>0</v>
      </c>
      <c r="AP18" s="4">
        <f t="shared" si="20"/>
        <v>200000</v>
      </c>
      <c r="AQ18" s="4"/>
      <c r="AR18" s="4">
        <f t="shared" si="30"/>
        <v>0</v>
      </c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>
        <f t="shared" si="25"/>
        <v>0</v>
      </c>
      <c r="BD18" s="4"/>
      <c r="BE18" s="4">
        <f t="shared" si="26"/>
        <v>0</v>
      </c>
      <c r="BF18" s="11"/>
      <c r="BH18" s="11">
        <f t="shared" si="27"/>
        <v>1336586.07</v>
      </c>
    </row>
    <row r="19" spans="1:60" x14ac:dyDescent="0.2">
      <c r="A19" s="23">
        <v>7</v>
      </c>
      <c r="B19" s="23">
        <v>7</v>
      </c>
      <c r="C19" s="3" t="s">
        <v>24</v>
      </c>
      <c r="D19" s="14">
        <v>549035.57999999996</v>
      </c>
      <c r="E19" s="4">
        <v>0</v>
      </c>
      <c r="F19" s="4">
        <f t="shared" si="13"/>
        <v>69444</v>
      </c>
      <c r="G19" s="4">
        <v>385718.55</v>
      </c>
      <c r="H19" s="14"/>
      <c r="I19" s="4">
        <f t="shared" si="14"/>
        <v>1004198.1299999999</v>
      </c>
      <c r="J19" s="4">
        <f t="shared" si="15"/>
        <v>0</v>
      </c>
      <c r="K19" s="15">
        <f t="shared" si="16"/>
        <v>1004198.1299999999</v>
      </c>
      <c r="L19" s="4">
        <v>0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4">
        <f t="shared" si="29"/>
        <v>0</v>
      </c>
      <c r="Z19" s="4">
        <f t="shared" si="17"/>
        <v>0</v>
      </c>
      <c r="AA19" s="16"/>
      <c r="AB19" s="16"/>
      <c r="AC19" s="16"/>
      <c r="AD19" s="16"/>
      <c r="AE19" s="16"/>
      <c r="AF19" s="22"/>
      <c r="AG19" s="16"/>
      <c r="AH19" s="16"/>
      <c r="AI19" s="16"/>
      <c r="AJ19" s="16"/>
      <c r="AK19" s="16"/>
      <c r="AL19" s="16"/>
      <c r="AM19" s="4">
        <f t="shared" si="18"/>
        <v>0</v>
      </c>
      <c r="AN19" s="4"/>
      <c r="AO19" s="4">
        <f t="shared" si="19"/>
        <v>0</v>
      </c>
      <c r="AP19" s="4">
        <f t="shared" si="20"/>
        <v>0</v>
      </c>
      <c r="AQ19" s="4">
        <v>5787</v>
      </c>
      <c r="AR19" s="4">
        <f t="shared" si="30"/>
        <v>5787</v>
      </c>
      <c r="AS19" s="4">
        <v>5787</v>
      </c>
      <c r="AT19" s="4">
        <v>5787</v>
      </c>
      <c r="AU19" s="4">
        <v>5787</v>
      </c>
      <c r="AV19" s="4">
        <v>5787</v>
      </c>
      <c r="AW19" s="4">
        <v>5787</v>
      </c>
      <c r="AX19" s="4">
        <v>5787</v>
      </c>
      <c r="AY19" s="4">
        <f>AX19</f>
        <v>5787</v>
      </c>
      <c r="AZ19" s="4">
        <v>5787</v>
      </c>
      <c r="BA19" s="4">
        <v>5787</v>
      </c>
      <c r="BB19" s="18">
        <v>5787</v>
      </c>
      <c r="BC19" s="4">
        <f t="shared" si="25"/>
        <v>69444</v>
      </c>
      <c r="BD19" s="4"/>
      <c r="BE19" s="4">
        <f t="shared" si="26"/>
        <v>69444</v>
      </c>
      <c r="BF19" s="11"/>
      <c r="BH19" s="11">
        <f t="shared" si="27"/>
        <v>618479.57999999996</v>
      </c>
    </row>
    <row r="20" spans="1:60" x14ac:dyDescent="0.2">
      <c r="A20" s="23">
        <v>8</v>
      </c>
      <c r="B20" s="23">
        <v>8</v>
      </c>
      <c r="C20" s="3" t="s">
        <v>25</v>
      </c>
      <c r="D20" s="14">
        <v>634574.13</v>
      </c>
      <c r="E20" s="4">
        <v>0</v>
      </c>
      <c r="F20" s="4">
        <f t="shared" si="13"/>
        <v>76752</v>
      </c>
      <c r="G20" s="4">
        <v>472229.22</v>
      </c>
      <c r="H20" s="14"/>
      <c r="I20" s="4">
        <f t="shared" si="14"/>
        <v>1183555.3500000001</v>
      </c>
      <c r="J20" s="4">
        <f t="shared" si="15"/>
        <v>544000</v>
      </c>
      <c r="K20" s="15">
        <f t="shared" si="16"/>
        <v>639555.35000000009</v>
      </c>
      <c r="L20" s="4">
        <v>736000</v>
      </c>
      <c r="M20" s="18"/>
      <c r="N20" s="18"/>
      <c r="O20" s="18"/>
      <c r="P20" s="18"/>
      <c r="Q20" s="18"/>
      <c r="R20" s="18"/>
      <c r="S20" s="18"/>
      <c r="T20" s="15"/>
      <c r="U20" s="18"/>
      <c r="V20" s="18"/>
      <c r="W20" s="18"/>
      <c r="X20" s="18"/>
      <c r="Y20" s="4">
        <f t="shared" si="29"/>
        <v>0</v>
      </c>
      <c r="Z20" s="4">
        <f t="shared" si="17"/>
        <v>736000</v>
      </c>
      <c r="AA20" s="16">
        <v>16000</v>
      </c>
      <c r="AB20" s="16">
        <v>16000</v>
      </c>
      <c r="AC20" s="16">
        <v>16000</v>
      </c>
      <c r="AD20" s="16">
        <v>16000</v>
      </c>
      <c r="AE20" s="16">
        <v>16000</v>
      </c>
      <c r="AF20" s="22">
        <v>16000</v>
      </c>
      <c r="AG20" s="16">
        <v>16000</v>
      </c>
      <c r="AH20" s="16">
        <v>16000</v>
      </c>
      <c r="AI20" s="16">
        <v>16000</v>
      </c>
      <c r="AJ20" s="16">
        <v>16000</v>
      </c>
      <c r="AK20" s="16">
        <v>16000</v>
      </c>
      <c r="AL20" s="16">
        <v>16000</v>
      </c>
      <c r="AM20" s="4">
        <f t="shared" si="18"/>
        <v>192000</v>
      </c>
      <c r="AN20" s="4"/>
      <c r="AO20" s="4">
        <f t="shared" si="19"/>
        <v>192000</v>
      </c>
      <c r="AP20" s="4">
        <f t="shared" si="20"/>
        <v>544000</v>
      </c>
      <c r="AQ20" s="4">
        <v>6396</v>
      </c>
      <c r="AR20" s="4">
        <f t="shared" si="30"/>
        <v>6396</v>
      </c>
      <c r="AS20" s="4">
        <v>6396</v>
      </c>
      <c r="AT20" s="4">
        <v>6396</v>
      </c>
      <c r="AU20" s="4">
        <v>6396</v>
      </c>
      <c r="AV20" s="4">
        <v>6396</v>
      </c>
      <c r="AW20" s="4">
        <v>6396</v>
      </c>
      <c r="AX20" s="4">
        <v>6396</v>
      </c>
      <c r="AY20" s="4">
        <f>AX20</f>
        <v>6396</v>
      </c>
      <c r="AZ20" s="4">
        <v>6396</v>
      </c>
      <c r="BA20" s="4">
        <v>6396</v>
      </c>
      <c r="BB20" s="18">
        <v>6396</v>
      </c>
      <c r="BC20" s="4">
        <f t="shared" si="25"/>
        <v>76752</v>
      </c>
      <c r="BD20" s="4"/>
      <c r="BE20" s="4">
        <f t="shared" si="26"/>
        <v>76752</v>
      </c>
      <c r="BF20" s="11"/>
      <c r="BH20" s="11">
        <f t="shared" si="27"/>
        <v>711326.13</v>
      </c>
    </row>
    <row r="21" spans="1:60" x14ac:dyDescent="0.2">
      <c r="A21" s="23">
        <v>10</v>
      </c>
      <c r="B21" s="23">
        <v>10</v>
      </c>
      <c r="C21" s="3" t="s">
        <v>64</v>
      </c>
      <c r="D21" s="14">
        <v>608785.5</v>
      </c>
      <c r="E21" s="4">
        <v>0</v>
      </c>
      <c r="F21" s="4">
        <f t="shared" si="13"/>
        <v>26523</v>
      </c>
      <c r="G21" s="4">
        <v>490390.97</v>
      </c>
      <c r="H21" s="14"/>
      <c r="I21" s="4">
        <f t="shared" si="14"/>
        <v>1125699.47</v>
      </c>
      <c r="J21" s="4">
        <f t="shared" si="15"/>
        <v>921890</v>
      </c>
      <c r="K21" s="15">
        <f t="shared" si="16"/>
        <v>203809.46999999997</v>
      </c>
      <c r="L21" s="4">
        <v>656000</v>
      </c>
      <c r="M21" s="18"/>
      <c r="N21" s="18">
        <v>323000</v>
      </c>
      <c r="O21" s="18"/>
      <c r="P21" s="18"/>
      <c r="Q21" s="18"/>
      <c r="R21" s="18"/>
      <c r="S21" s="18">
        <v>175000</v>
      </c>
      <c r="T21" s="18"/>
      <c r="U21" s="18"/>
      <c r="V21" s="18"/>
      <c r="W21" s="18"/>
      <c r="X21" s="18"/>
      <c r="Y21" s="4">
        <f t="shared" si="29"/>
        <v>498000</v>
      </c>
      <c r="Z21" s="4">
        <f t="shared" si="17"/>
        <v>1154000</v>
      </c>
      <c r="AA21" s="16">
        <v>16000</v>
      </c>
      <c r="AB21" s="16">
        <v>16000</v>
      </c>
      <c r="AC21" s="16">
        <v>19000</v>
      </c>
      <c r="AD21" s="16">
        <v>19000</v>
      </c>
      <c r="AE21" s="16">
        <v>19000</v>
      </c>
      <c r="AF21" s="22">
        <v>19000</v>
      </c>
      <c r="AG21" s="16">
        <v>18935</v>
      </c>
      <c r="AH21" s="16">
        <v>18935</v>
      </c>
      <c r="AI21" s="16">
        <v>18935</v>
      </c>
      <c r="AJ21" s="16">
        <v>22435</v>
      </c>
      <c r="AK21" s="16">
        <v>22435</v>
      </c>
      <c r="AL21" s="16">
        <v>22435</v>
      </c>
      <c r="AM21" s="4">
        <f t="shared" si="18"/>
        <v>232110</v>
      </c>
      <c r="AN21" s="4"/>
      <c r="AO21" s="4">
        <f t="shared" si="19"/>
        <v>232110</v>
      </c>
      <c r="AP21" s="4">
        <f t="shared" si="20"/>
        <v>921890</v>
      </c>
      <c r="AQ21" s="4">
        <v>2077.5</v>
      </c>
      <c r="AR21" s="4">
        <f t="shared" si="30"/>
        <v>2077.5</v>
      </c>
      <c r="AS21" s="4">
        <v>2077.5</v>
      </c>
      <c r="AT21" s="4">
        <f>AS21</f>
        <v>2077.5</v>
      </c>
      <c r="AU21" s="4">
        <v>2077.5</v>
      </c>
      <c r="AV21" s="4">
        <v>2077.5</v>
      </c>
      <c r="AW21" s="4">
        <v>2078</v>
      </c>
      <c r="AX21" s="4">
        <v>2078</v>
      </c>
      <c r="AY21" s="4">
        <f>AX21</f>
        <v>2078</v>
      </c>
      <c r="AZ21" s="4">
        <v>2608</v>
      </c>
      <c r="BA21" s="4">
        <v>2608</v>
      </c>
      <c r="BB21" s="18">
        <v>2608</v>
      </c>
      <c r="BC21" s="4">
        <f t="shared" si="25"/>
        <v>26523</v>
      </c>
      <c r="BD21" s="4"/>
      <c r="BE21" s="4">
        <f t="shared" si="26"/>
        <v>26523</v>
      </c>
      <c r="BF21" s="11"/>
      <c r="BH21" s="11">
        <f t="shared" si="27"/>
        <v>635308.5</v>
      </c>
    </row>
    <row r="22" spans="1:60" x14ac:dyDescent="0.2">
      <c r="A22" s="23">
        <v>107</v>
      </c>
      <c r="B22" s="23">
        <v>107</v>
      </c>
      <c r="C22" s="3" t="s">
        <v>26</v>
      </c>
      <c r="D22" s="14">
        <v>246493.61</v>
      </c>
      <c r="E22" s="4">
        <v>0</v>
      </c>
      <c r="F22" s="4">
        <f t="shared" ref="F22:F37" si="31">BE22</f>
        <v>29844</v>
      </c>
      <c r="G22" s="4">
        <v>75887.91</v>
      </c>
      <c r="H22" s="3"/>
      <c r="I22" s="4">
        <f t="shared" ref="I22:I37" si="32">D22+E22+F22+G22+H22</f>
        <v>352225.52</v>
      </c>
      <c r="J22" s="4">
        <f t="shared" ref="J22:J37" si="33">AP22</f>
        <v>165460</v>
      </c>
      <c r="K22" s="15">
        <f t="shared" ref="K22:K37" si="34">SUM(I22-J22)</f>
        <v>186765.52000000002</v>
      </c>
      <c r="L22" s="4">
        <v>136004</v>
      </c>
      <c r="M22" s="18"/>
      <c r="N22" s="19"/>
      <c r="O22" s="19"/>
      <c r="P22" s="15"/>
      <c r="Q22" s="15"/>
      <c r="R22" s="15">
        <v>30000</v>
      </c>
      <c r="S22" s="15"/>
      <c r="T22" s="3"/>
      <c r="U22" s="15"/>
      <c r="V22" s="15"/>
      <c r="W22" s="15"/>
      <c r="X22" s="18">
        <v>40000</v>
      </c>
      <c r="Y22" s="4">
        <f>SUM(M22:X22)</f>
        <v>70000</v>
      </c>
      <c r="Z22" s="4">
        <f t="shared" ref="Z22:Z37" si="35">SUM(L22,Y22)</f>
        <v>206004</v>
      </c>
      <c r="AA22" s="4">
        <v>3160</v>
      </c>
      <c r="AB22" s="4">
        <v>3160</v>
      </c>
      <c r="AC22" s="4">
        <v>3160</v>
      </c>
      <c r="AD22" s="4">
        <v>3160</v>
      </c>
      <c r="AE22" s="4">
        <v>3160</v>
      </c>
      <c r="AF22" s="15">
        <v>3160</v>
      </c>
      <c r="AG22" s="4">
        <v>3164</v>
      </c>
      <c r="AH22" s="4">
        <v>3164</v>
      </c>
      <c r="AI22" s="4">
        <v>3164</v>
      </c>
      <c r="AJ22" s="4">
        <v>3764</v>
      </c>
      <c r="AK22" s="4">
        <v>3764</v>
      </c>
      <c r="AL22" s="4">
        <v>4564</v>
      </c>
      <c r="AM22" s="4">
        <f t="shared" ref="AM22:AM37" si="36">AA22+AB22+AC22+AD22+AE22+AF22+AG22+AH22+AI22+AJ22+AK22+AL22</f>
        <v>40544</v>
      </c>
      <c r="AN22" s="4"/>
      <c r="AO22" s="4">
        <f t="shared" ref="AO22:AO37" si="37">AM22+AN22</f>
        <v>40544</v>
      </c>
      <c r="AP22" s="4">
        <f t="shared" ref="AP22:AP37" si="38">Z22-AO22</f>
        <v>165460</v>
      </c>
      <c r="AQ22" s="4">
        <v>2487</v>
      </c>
      <c r="AR22" s="4">
        <f t="shared" si="30"/>
        <v>2487</v>
      </c>
      <c r="AS22" s="4">
        <f t="shared" ref="AS22:AS23" si="39">AR22</f>
        <v>2487</v>
      </c>
      <c r="AT22" s="4">
        <f t="shared" ref="AT22:AT23" si="40">AS22</f>
        <v>2487</v>
      </c>
      <c r="AU22" s="4">
        <v>2487</v>
      </c>
      <c r="AV22" s="4">
        <v>2487</v>
      </c>
      <c r="AW22" s="4">
        <v>2487</v>
      </c>
      <c r="AX22" s="4">
        <v>2487</v>
      </c>
      <c r="AY22" s="4">
        <f t="shared" ref="AY22:AY23" si="41">AX22</f>
        <v>2487</v>
      </c>
      <c r="AZ22" s="4">
        <v>2487</v>
      </c>
      <c r="BA22" s="4">
        <v>2487</v>
      </c>
      <c r="BB22" s="18">
        <v>2487</v>
      </c>
      <c r="BC22" s="4">
        <f t="shared" ref="BC22:BC37" si="42">SUM(AQ22:BB22)</f>
        <v>29844</v>
      </c>
      <c r="BD22" s="4"/>
      <c r="BE22" s="4">
        <f t="shared" ref="BE22:BE37" si="43">BC22+BD22</f>
        <v>29844</v>
      </c>
      <c r="BF22" s="11"/>
      <c r="BH22" s="11">
        <f t="shared" ref="BH22:BH37" si="44">D22+F22</f>
        <v>276337.61</v>
      </c>
    </row>
    <row r="23" spans="1:60" x14ac:dyDescent="0.2">
      <c r="A23" s="23">
        <v>108</v>
      </c>
      <c r="B23" s="23">
        <v>108</v>
      </c>
      <c r="C23" s="3" t="s">
        <v>27</v>
      </c>
      <c r="D23" s="14">
        <v>30684</v>
      </c>
      <c r="E23" s="4">
        <v>0</v>
      </c>
      <c r="F23" s="4">
        <f t="shared" si="31"/>
        <v>16512</v>
      </c>
      <c r="G23" s="4">
        <v>10541.79</v>
      </c>
      <c r="H23" s="3"/>
      <c r="I23" s="4">
        <f t="shared" si="32"/>
        <v>57737.79</v>
      </c>
      <c r="J23" s="4">
        <f t="shared" si="33"/>
        <v>0</v>
      </c>
      <c r="K23" s="15">
        <f t="shared" si="34"/>
        <v>57737.79</v>
      </c>
      <c r="L23" s="3">
        <v>0</v>
      </c>
      <c r="M23" s="18"/>
      <c r="N23" s="19"/>
      <c r="O23" s="19"/>
      <c r="P23" s="15"/>
      <c r="Q23" s="15"/>
      <c r="R23" s="15"/>
      <c r="S23" s="15"/>
      <c r="T23" s="3"/>
      <c r="U23" s="15"/>
      <c r="V23" s="15"/>
      <c r="W23" s="15"/>
      <c r="X23" s="18"/>
      <c r="Y23" s="4">
        <f>SUM(M23:X23)</f>
        <v>0</v>
      </c>
      <c r="Z23" s="4">
        <f t="shared" si="35"/>
        <v>0</v>
      </c>
      <c r="AA23" s="4"/>
      <c r="AB23" s="4"/>
      <c r="AC23" s="4"/>
      <c r="AD23" s="4"/>
      <c r="AE23" s="4"/>
      <c r="AF23" s="15"/>
      <c r="AG23" s="4"/>
      <c r="AH23" s="4"/>
      <c r="AI23" s="4"/>
      <c r="AJ23" s="4"/>
      <c r="AK23" s="4"/>
      <c r="AL23" s="4"/>
      <c r="AM23" s="4">
        <f t="shared" si="36"/>
        <v>0</v>
      </c>
      <c r="AN23" s="4"/>
      <c r="AO23" s="4">
        <f t="shared" si="37"/>
        <v>0</v>
      </c>
      <c r="AP23" s="4">
        <f t="shared" si="38"/>
        <v>0</v>
      </c>
      <c r="AQ23" s="4">
        <v>1376</v>
      </c>
      <c r="AR23" s="4">
        <f t="shared" si="30"/>
        <v>1376</v>
      </c>
      <c r="AS23" s="4">
        <f t="shared" si="39"/>
        <v>1376</v>
      </c>
      <c r="AT23" s="4">
        <f t="shared" si="40"/>
        <v>1376</v>
      </c>
      <c r="AU23" s="4">
        <v>1376</v>
      </c>
      <c r="AV23" s="4">
        <v>1376</v>
      </c>
      <c r="AW23" s="4">
        <v>1376</v>
      </c>
      <c r="AX23" s="4">
        <v>1376</v>
      </c>
      <c r="AY23" s="4">
        <f t="shared" si="41"/>
        <v>1376</v>
      </c>
      <c r="AZ23" s="4">
        <v>1376</v>
      </c>
      <c r="BA23" s="4">
        <v>1376</v>
      </c>
      <c r="BB23" s="18">
        <v>1376</v>
      </c>
      <c r="BC23" s="4">
        <f t="shared" si="42"/>
        <v>16512</v>
      </c>
      <c r="BD23" s="4"/>
      <c r="BE23" s="4">
        <f t="shared" si="43"/>
        <v>16512</v>
      </c>
      <c r="BF23" s="11"/>
      <c r="BH23" s="11">
        <f t="shared" si="44"/>
        <v>47196</v>
      </c>
    </row>
    <row r="24" spans="1:60" x14ac:dyDescent="0.2">
      <c r="A24" s="23">
        <v>1</v>
      </c>
      <c r="B24" s="23">
        <v>1</v>
      </c>
      <c r="C24" s="3" t="s">
        <v>21</v>
      </c>
      <c r="D24" s="14">
        <v>1322069.1499999999</v>
      </c>
      <c r="E24" s="4">
        <v>0</v>
      </c>
      <c r="F24" s="4">
        <f t="shared" si="31"/>
        <v>128642</v>
      </c>
      <c r="G24" s="4">
        <v>1291167.3999999999</v>
      </c>
      <c r="H24" s="14"/>
      <c r="I24" s="4">
        <f t="shared" si="32"/>
        <v>2741878.55</v>
      </c>
      <c r="J24" s="4">
        <f t="shared" si="33"/>
        <v>0</v>
      </c>
      <c r="K24" s="15">
        <f t="shared" si="34"/>
        <v>2741878.55</v>
      </c>
      <c r="L24" s="4">
        <v>90000</v>
      </c>
      <c r="M24" s="18">
        <v>0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4">
        <f t="shared" ref="Y24:Y29" si="45">SUM(M24:X24)</f>
        <v>0</v>
      </c>
      <c r="Z24" s="4">
        <f t="shared" si="35"/>
        <v>90000</v>
      </c>
      <c r="AA24" s="16">
        <v>10000</v>
      </c>
      <c r="AB24" s="16">
        <v>10000</v>
      </c>
      <c r="AC24" s="16">
        <v>10000</v>
      </c>
      <c r="AD24" s="16">
        <v>10000</v>
      </c>
      <c r="AE24" s="16">
        <v>10000</v>
      </c>
      <c r="AF24" s="22">
        <v>10000</v>
      </c>
      <c r="AG24" s="16">
        <v>10000</v>
      </c>
      <c r="AH24" s="16">
        <v>10000</v>
      </c>
      <c r="AI24" s="16">
        <v>10000</v>
      </c>
      <c r="AJ24" s="16"/>
      <c r="AK24" s="16"/>
      <c r="AL24" s="16"/>
      <c r="AM24" s="4">
        <f t="shared" si="36"/>
        <v>90000</v>
      </c>
      <c r="AN24" s="4"/>
      <c r="AO24" s="4">
        <f t="shared" si="37"/>
        <v>90000</v>
      </c>
      <c r="AP24" s="4">
        <f t="shared" si="38"/>
        <v>0</v>
      </c>
      <c r="AQ24" s="4">
        <v>10680</v>
      </c>
      <c r="AR24" s="4">
        <f>AQ24</f>
        <v>10680</v>
      </c>
      <c r="AS24" s="4">
        <v>10680</v>
      </c>
      <c r="AT24" s="4">
        <v>10762.5</v>
      </c>
      <c r="AU24" s="4">
        <v>10729.5</v>
      </c>
      <c r="AV24" s="4">
        <v>10730</v>
      </c>
      <c r="AW24" s="4">
        <v>10730</v>
      </c>
      <c r="AX24" s="4">
        <v>10730</v>
      </c>
      <c r="AY24" s="4">
        <f>AX24</f>
        <v>10730</v>
      </c>
      <c r="AZ24" s="4">
        <v>10730</v>
      </c>
      <c r="BA24" s="4">
        <v>10730</v>
      </c>
      <c r="BB24" s="18">
        <v>10730</v>
      </c>
      <c r="BC24" s="4">
        <f t="shared" si="42"/>
        <v>128642</v>
      </c>
      <c r="BD24" s="4"/>
      <c r="BE24" s="4">
        <f t="shared" si="43"/>
        <v>128642</v>
      </c>
      <c r="BF24" s="11"/>
      <c r="BH24" s="11">
        <f t="shared" si="44"/>
        <v>1450711.15</v>
      </c>
    </row>
    <row r="25" spans="1:60" x14ac:dyDescent="0.2">
      <c r="A25" s="23">
        <v>2</v>
      </c>
      <c r="B25" s="23">
        <v>2</v>
      </c>
      <c r="C25" s="24" t="s">
        <v>22</v>
      </c>
      <c r="D25" s="14">
        <v>1370369.5699999998</v>
      </c>
      <c r="E25" s="4">
        <v>0</v>
      </c>
      <c r="F25" s="4">
        <f t="shared" si="31"/>
        <v>128642</v>
      </c>
      <c r="G25" s="4">
        <v>1497672.47</v>
      </c>
      <c r="H25" s="14"/>
      <c r="I25" s="4">
        <f t="shared" si="32"/>
        <v>2996684.04</v>
      </c>
      <c r="J25" s="4">
        <f t="shared" si="33"/>
        <v>0</v>
      </c>
      <c r="K25" s="15">
        <f t="shared" si="34"/>
        <v>2996684.04</v>
      </c>
      <c r="L25" s="4">
        <v>0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">
        <f t="shared" si="45"/>
        <v>0</v>
      </c>
      <c r="Z25" s="4">
        <f t="shared" si="35"/>
        <v>0</v>
      </c>
      <c r="AA25" s="16"/>
      <c r="AB25" s="16"/>
      <c r="AC25" s="16"/>
      <c r="AD25" s="16"/>
      <c r="AE25" s="16"/>
      <c r="AF25" s="22"/>
      <c r="AG25" s="16"/>
      <c r="AH25" s="16"/>
      <c r="AI25" s="16"/>
      <c r="AJ25" s="16"/>
      <c r="AK25" s="16"/>
      <c r="AL25" s="16"/>
      <c r="AM25" s="4">
        <f t="shared" si="36"/>
        <v>0</v>
      </c>
      <c r="AN25" s="4"/>
      <c r="AO25" s="4">
        <f t="shared" si="37"/>
        <v>0</v>
      </c>
      <c r="AP25" s="4">
        <f t="shared" si="38"/>
        <v>0</v>
      </c>
      <c r="AQ25" s="4">
        <v>10680</v>
      </c>
      <c r="AR25" s="4">
        <f t="shared" ref="AR25:AR31" si="46">AQ25</f>
        <v>10680</v>
      </c>
      <c r="AS25" s="4">
        <v>10680</v>
      </c>
      <c r="AT25" s="4">
        <v>10762.5</v>
      </c>
      <c r="AU25" s="4">
        <v>10729.5</v>
      </c>
      <c r="AV25" s="4">
        <v>10730</v>
      </c>
      <c r="AW25" s="4">
        <v>10730</v>
      </c>
      <c r="AX25" s="4">
        <v>10730</v>
      </c>
      <c r="AY25" s="4">
        <f>AX25</f>
        <v>10730</v>
      </c>
      <c r="AZ25" s="4">
        <v>10730</v>
      </c>
      <c r="BA25" s="4">
        <v>10730</v>
      </c>
      <c r="BB25" s="18">
        <v>10730</v>
      </c>
      <c r="BC25" s="4">
        <f t="shared" si="42"/>
        <v>128642</v>
      </c>
      <c r="BD25" s="4"/>
      <c r="BE25" s="4">
        <f t="shared" si="43"/>
        <v>128642</v>
      </c>
      <c r="BF25" s="11"/>
      <c r="BH25" s="11">
        <f t="shared" si="44"/>
        <v>1499011.5699999998</v>
      </c>
    </row>
    <row r="26" spans="1:60" x14ac:dyDescent="0.2">
      <c r="A26" s="23">
        <v>3</v>
      </c>
      <c r="B26" s="23">
        <v>3</v>
      </c>
      <c r="C26" s="3" t="s">
        <v>23</v>
      </c>
      <c r="D26" s="14">
        <v>1336586.07</v>
      </c>
      <c r="E26" s="4">
        <v>0</v>
      </c>
      <c r="F26" s="4">
        <f t="shared" si="31"/>
        <v>0</v>
      </c>
      <c r="G26" s="4">
        <v>956905.63</v>
      </c>
      <c r="H26" s="17"/>
      <c r="I26" s="4">
        <f t="shared" si="32"/>
        <v>2293491.7000000002</v>
      </c>
      <c r="J26" s="4">
        <f t="shared" si="33"/>
        <v>200000</v>
      </c>
      <c r="K26" s="15">
        <f t="shared" si="34"/>
        <v>2093491.7000000002</v>
      </c>
      <c r="L26" s="4">
        <v>200000</v>
      </c>
      <c r="M26" s="18"/>
      <c r="N26" s="18"/>
      <c r="O26" s="18"/>
      <c r="P26" s="18"/>
      <c r="Q26" s="18"/>
      <c r="R26" s="18"/>
      <c r="S26" s="18"/>
      <c r="U26" s="18"/>
      <c r="V26" s="18"/>
      <c r="W26" s="18"/>
      <c r="X26" s="18"/>
      <c r="Y26" s="4">
        <f t="shared" si="45"/>
        <v>0</v>
      </c>
      <c r="Z26" s="4">
        <f t="shared" si="35"/>
        <v>200000</v>
      </c>
      <c r="AA26" s="16"/>
      <c r="AB26" s="16"/>
      <c r="AC26" s="16"/>
      <c r="AD26" s="16"/>
      <c r="AE26" s="16"/>
      <c r="AF26" s="22"/>
      <c r="AG26" s="16"/>
      <c r="AH26" s="16"/>
      <c r="AI26" s="16"/>
      <c r="AJ26" s="16"/>
      <c r="AK26" s="16"/>
      <c r="AL26" s="16"/>
      <c r="AM26" s="4">
        <f t="shared" si="36"/>
        <v>0</v>
      </c>
      <c r="AN26" s="4"/>
      <c r="AO26" s="4">
        <f t="shared" si="37"/>
        <v>0</v>
      </c>
      <c r="AP26" s="4">
        <f t="shared" si="38"/>
        <v>200000</v>
      </c>
      <c r="AQ26" s="4"/>
      <c r="AR26" s="4">
        <f t="shared" si="46"/>
        <v>0</v>
      </c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>
        <f t="shared" si="42"/>
        <v>0</v>
      </c>
      <c r="BD26" s="4"/>
      <c r="BE26" s="4">
        <f t="shared" si="43"/>
        <v>0</v>
      </c>
      <c r="BF26" s="11"/>
      <c r="BH26" s="11">
        <f t="shared" si="44"/>
        <v>1336586.07</v>
      </c>
    </row>
    <row r="27" spans="1:60" x14ac:dyDescent="0.2">
      <c r="A27" s="23">
        <v>7</v>
      </c>
      <c r="B27" s="23">
        <v>7</v>
      </c>
      <c r="C27" s="3" t="s">
        <v>24</v>
      </c>
      <c r="D27" s="14">
        <v>549035.57999999996</v>
      </c>
      <c r="E27" s="4">
        <v>0</v>
      </c>
      <c r="F27" s="4">
        <f t="shared" si="31"/>
        <v>69444</v>
      </c>
      <c r="G27" s="4">
        <v>385718.55</v>
      </c>
      <c r="H27" s="14"/>
      <c r="I27" s="4">
        <f t="shared" si="32"/>
        <v>1004198.1299999999</v>
      </c>
      <c r="J27" s="4">
        <f t="shared" si="33"/>
        <v>0</v>
      </c>
      <c r="K27" s="15">
        <f t="shared" si="34"/>
        <v>1004198.1299999999</v>
      </c>
      <c r="L27" s="4">
        <v>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4">
        <f t="shared" si="45"/>
        <v>0</v>
      </c>
      <c r="Z27" s="4">
        <f t="shared" si="35"/>
        <v>0</v>
      </c>
      <c r="AA27" s="16"/>
      <c r="AB27" s="16"/>
      <c r="AC27" s="16"/>
      <c r="AD27" s="16"/>
      <c r="AE27" s="16"/>
      <c r="AF27" s="22"/>
      <c r="AG27" s="16"/>
      <c r="AH27" s="16"/>
      <c r="AI27" s="16"/>
      <c r="AJ27" s="16"/>
      <c r="AK27" s="16"/>
      <c r="AL27" s="16"/>
      <c r="AM27" s="4">
        <f t="shared" si="36"/>
        <v>0</v>
      </c>
      <c r="AN27" s="4"/>
      <c r="AO27" s="4">
        <f t="shared" si="37"/>
        <v>0</v>
      </c>
      <c r="AP27" s="4">
        <f t="shared" si="38"/>
        <v>0</v>
      </c>
      <c r="AQ27" s="4">
        <v>5787</v>
      </c>
      <c r="AR27" s="4">
        <f t="shared" si="46"/>
        <v>5787</v>
      </c>
      <c r="AS27" s="4">
        <v>5787</v>
      </c>
      <c r="AT27" s="4">
        <v>5787</v>
      </c>
      <c r="AU27" s="4">
        <v>5787</v>
      </c>
      <c r="AV27" s="4">
        <v>5787</v>
      </c>
      <c r="AW27" s="4">
        <v>5787</v>
      </c>
      <c r="AX27" s="4">
        <v>5787</v>
      </c>
      <c r="AY27" s="4">
        <f>AX27</f>
        <v>5787</v>
      </c>
      <c r="AZ27" s="4">
        <v>5787</v>
      </c>
      <c r="BA27" s="4">
        <v>5787</v>
      </c>
      <c r="BB27" s="18">
        <v>5787</v>
      </c>
      <c r="BC27" s="4">
        <f t="shared" si="42"/>
        <v>69444</v>
      </c>
      <c r="BD27" s="4"/>
      <c r="BE27" s="4">
        <f t="shared" si="43"/>
        <v>69444</v>
      </c>
      <c r="BF27" s="11"/>
      <c r="BH27" s="11">
        <f t="shared" si="44"/>
        <v>618479.57999999996</v>
      </c>
    </row>
    <row r="28" spans="1:60" x14ac:dyDescent="0.2">
      <c r="A28" s="23">
        <v>8</v>
      </c>
      <c r="B28" s="23">
        <v>8</v>
      </c>
      <c r="C28" s="3" t="s">
        <v>25</v>
      </c>
      <c r="D28" s="14">
        <v>634574.13</v>
      </c>
      <c r="E28" s="4">
        <v>0</v>
      </c>
      <c r="F28" s="4">
        <f t="shared" si="31"/>
        <v>76752</v>
      </c>
      <c r="G28" s="4">
        <v>472229.22</v>
      </c>
      <c r="H28" s="14"/>
      <c r="I28" s="4">
        <f t="shared" si="32"/>
        <v>1183555.3500000001</v>
      </c>
      <c r="J28" s="4">
        <f t="shared" si="33"/>
        <v>544000</v>
      </c>
      <c r="K28" s="15">
        <f t="shared" si="34"/>
        <v>639555.35000000009</v>
      </c>
      <c r="L28" s="4">
        <v>736000</v>
      </c>
      <c r="M28" s="18"/>
      <c r="N28" s="18"/>
      <c r="O28" s="18"/>
      <c r="P28" s="18"/>
      <c r="Q28" s="18"/>
      <c r="R28" s="18"/>
      <c r="S28" s="18"/>
      <c r="T28" s="15"/>
      <c r="U28" s="18"/>
      <c r="V28" s="18"/>
      <c r="W28" s="18"/>
      <c r="X28" s="18"/>
      <c r="Y28" s="4">
        <f t="shared" si="45"/>
        <v>0</v>
      </c>
      <c r="Z28" s="4">
        <f t="shared" si="35"/>
        <v>736000</v>
      </c>
      <c r="AA28" s="16">
        <v>16000</v>
      </c>
      <c r="AB28" s="16">
        <v>16000</v>
      </c>
      <c r="AC28" s="16">
        <v>16000</v>
      </c>
      <c r="AD28" s="16">
        <v>16000</v>
      </c>
      <c r="AE28" s="16">
        <v>16000</v>
      </c>
      <c r="AF28" s="22">
        <v>16000</v>
      </c>
      <c r="AG28" s="16">
        <v>16000</v>
      </c>
      <c r="AH28" s="16">
        <v>16000</v>
      </c>
      <c r="AI28" s="16">
        <v>16000</v>
      </c>
      <c r="AJ28" s="16">
        <v>16000</v>
      </c>
      <c r="AK28" s="16">
        <v>16000</v>
      </c>
      <c r="AL28" s="16">
        <v>16000</v>
      </c>
      <c r="AM28" s="4">
        <f t="shared" si="36"/>
        <v>192000</v>
      </c>
      <c r="AN28" s="4"/>
      <c r="AO28" s="4">
        <f t="shared" si="37"/>
        <v>192000</v>
      </c>
      <c r="AP28" s="4">
        <f t="shared" si="38"/>
        <v>544000</v>
      </c>
      <c r="AQ28" s="4">
        <v>6396</v>
      </c>
      <c r="AR28" s="4">
        <f t="shared" si="46"/>
        <v>6396</v>
      </c>
      <c r="AS28" s="4">
        <v>6396</v>
      </c>
      <c r="AT28" s="4">
        <v>6396</v>
      </c>
      <c r="AU28" s="4">
        <v>6396</v>
      </c>
      <c r="AV28" s="4">
        <v>6396</v>
      </c>
      <c r="AW28" s="4">
        <v>6396</v>
      </c>
      <c r="AX28" s="4">
        <v>6396</v>
      </c>
      <c r="AY28" s="4">
        <f>AX28</f>
        <v>6396</v>
      </c>
      <c r="AZ28" s="4">
        <v>6396</v>
      </c>
      <c r="BA28" s="4">
        <v>6396</v>
      </c>
      <c r="BB28" s="18">
        <v>6396</v>
      </c>
      <c r="BC28" s="4">
        <f t="shared" si="42"/>
        <v>76752</v>
      </c>
      <c r="BD28" s="4"/>
      <c r="BE28" s="4">
        <f t="shared" si="43"/>
        <v>76752</v>
      </c>
      <c r="BF28" s="11"/>
      <c r="BH28" s="11">
        <f t="shared" si="44"/>
        <v>711326.13</v>
      </c>
    </row>
    <row r="29" spans="1:60" x14ac:dyDescent="0.2">
      <c r="A29" s="23">
        <v>10</v>
      </c>
      <c r="B29" s="23">
        <v>10</v>
      </c>
      <c r="C29" s="3" t="s">
        <v>64</v>
      </c>
      <c r="D29" s="14">
        <v>608785.5</v>
      </c>
      <c r="E29" s="4">
        <v>0</v>
      </c>
      <c r="F29" s="4">
        <f t="shared" si="31"/>
        <v>26523</v>
      </c>
      <c r="G29" s="4">
        <v>490390.97</v>
      </c>
      <c r="H29" s="14"/>
      <c r="I29" s="4">
        <f t="shared" si="32"/>
        <v>1125699.47</v>
      </c>
      <c r="J29" s="4">
        <f t="shared" si="33"/>
        <v>921890</v>
      </c>
      <c r="K29" s="15">
        <f t="shared" si="34"/>
        <v>203809.46999999997</v>
      </c>
      <c r="L29" s="4">
        <v>656000</v>
      </c>
      <c r="M29" s="18"/>
      <c r="N29" s="18">
        <v>323000</v>
      </c>
      <c r="O29" s="18"/>
      <c r="P29" s="18"/>
      <c r="Q29" s="18"/>
      <c r="R29" s="18"/>
      <c r="S29" s="18">
        <v>175000</v>
      </c>
      <c r="T29" s="18"/>
      <c r="U29" s="18"/>
      <c r="V29" s="18"/>
      <c r="W29" s="18"/>
      <c r="X29" s="18"/>
      <c r="Y29" s="4">
        <f t="shared" si="45"/>
        <v>498000</v>
      </c>
      <c r="Z29" s="4">
        <f t="shared" si="35"/>
        <v>1154000</v>
      </c>
      <c r="AA29" s="16">
        <v>16000</v>
      </c>
      <c r="AB29" s="16">
        <v>16000</v>
      </c>
      <c r="AC29" s="16">
        <v>19000</v>
      </c>
      <c r="AD29" s="16">
        <v>19000</v>
      </c>
      <c r="AE29" s="16">
        <v>19000</v>
      </c>
      <c r="AF29" s="22">
        <v>19000</v>
      </c>
      <c r="AG29" s="16">
        <v>18935</v>
      </c>
      <c r="AH29" s="16">
        <v>18935</v>
      </c>
      <c r="AI29" s="16">
        <v>18935</v>
      </c>
      <c r="AJ29" s="16">
        <v>22435</v>
      </c>
      <c r="AK29" s="16">
        <v>22435</v>
      </c>
      <c r="AL29" s="16">
        <v>22435</v>
      </c>
      <c r="AM29" s="4">
        <f t="shared" si="36"/>
        <v>232110</v>
      </c>
      <c r="AN29" s="4"/>
      <c r="AO29" s="4">
        <f t="shared" si="37"/>
        <v>232110</v>
      </c>
      <c r="AP29" s="4">
        <f t="shared" si="38"/>
        <v>921890</v>
      </c>
      <c r="AQ29" s="4">
        <v>2077.5</v>
      </c>
      <c r="AR29" s="4">
        <f t="shared" si="46"/>
        <v>2077.5</v>
      </c>
      <c r="AS29" s="4">
        <v>2077.5</v>
      </c>
      <c r="AT29" s="4">
        <f>AS29</f>
        <v>2077.5</v>
      </c>
      <c r="AU29" s="4">
        <v>2077.5</v>
      </c>
      <c r="AV29" s="4">
        <v>2077.5</v>
      </c>
      <c r="AW29" s="4">
        <v>2078</v>
      </c>
      <c r="AX29" s="4">
        <v>2078</v>
      </c>
      <c r="AY29" s="4">
        <f>AX29</f>
        <v>2078</v>
      </c>
      <c r="AZ29" s="4">
        <v>2608</v>
      </c>
      <c r="BA29" s="4">
        <v>2608</v>
      </c>
      <c r="BB29" s="18">
        <v>2608</v>
      </c>
      <c r="BC29" s="4">
        <f t="shared" si="42"/>
        <v>26523</v>
      </c>
      <c r="BD29" s="4"/>
      <c r="BE29" s="4">
        <f t="shared" si="43"/>
        <v>26523</v>
      </c>
      <c r="BF29" s="11"/>
      <c r="BH29" s="11">
        <f t="shared" si="44"/>
        <v>635308.5</v>
      </c>
    </row>
    <row r="30" spans="1:60" x14ac:dyDescent="0.2">
      <c r="A30" s="23">
        <v>107</v>
      </c>
      <c r="B30" s="23">
        <v>107</v>
      </c>
      <c r="C30" s="3" t="s">
        <v>26</v>
      </c>
      <c r="D30" s="14">
        <v>246493.61</v>
      </c>
      <c r="E30" s="4">
        <v>0</v>
      </c>
      <c r="F30" s="4">
        <f t="shared" si="31"/>
        <v>29844</v>
      </c>
      <c r="G30" s="4">
        <v>75887.91</v>
      </c>
      <c r="H30" s="3"/>
      <c r="I30" s="4">
        <f t="shared" si="32"/>
        <v>352225.52</v>
      </c>
      <c r="J30" s="4">
        <f t="shared" si="33"/>
        <v>165460</v>
      </c>
      <c r="K30" s="15">
        <f t="shared" si="34"/>
        <v>186765.52000000002</v>
      </c>
      <c r="L30" s="4">
        <v>136004</v>
      </c>
      <c r="M30" s="18"/>
      <c r="N30" s="19"/>
      <c r="O30" s="19"/>
      <c r="P30" s="15"/>
      <c r="Q30" s="15"/>
      <c r="R30" s="15">
        <v>30000</v>
      </c>
      <c r="S30" s="15"/>
      <c r="T30" s="3"/>
      <c r="U30" s="15"/>
      <c r="V30" s="15"/>
      <c r="W30" s="15"/>
      <c r="X30" s="18">
        <v>40000</v>
      </c>
      <c r="Y30" s="4">
        <f>SUM(M30:X30)</f>
        <v>70000</v>
      </c>
      <c r="Z30" s="4">
        <f t="shared" si="35"/>
        <v>206004</v>
      </c>
      <c r="AA30" s="4">
        <v>3160</v>
      </c>
      <c r="AB30" s="4">
        <v>3160</v>
      </c>
      <c r="AC30" s="4">
        <v>3160</v>
      </c>
      <c r="AD30" s="4">
        <v>3160</v>
      </c>
      <c r="AE30" s="4">
        <v>3160</v>
      </c>
      <c r="AF30" s="15">
        <v>3160</v>
      </c>
      <c r="AG30" s="4">
        <v>3164</v>
      </c>
      <c r="AH30" s="4">
        <v>3164</v>
      </c>
      <c r="AI30" s="4">
        <v>3164</v>
      </c>
      <c r="AJ30" s="4">
        <v>3764</v>
      </c>
      <c r="AK30" s="4">
        <v>3764</v>
      </c>
      <c r="AL30" s="4">
        <v>4564</v>
      </c>
      <c r="AM30" s="4">
        <f t="shared" si="36"/>
        <v>40544</v>
      </c>
      <c r="AN30" s="4"/>
      <c r="AO30" s="4">
        <f t="shared" si="37"/>
        <v>40544</v>
      </c>
      <c r="AP30" s="4">
        <f t="shared" si="38"/>
        <v>165460</v>
      </c>
      <c r="AQ30" s="4">
        <v>2487</v>
      </c>
      <c r="AR30" s="4">
        <f t="shared" si="46"/>
        <v>2487</v>
      </c>
      <c r="AS30" s="4">
        <f t="shared" ref="AS30:AS31" si="47">AR30</f>
        <v>2487</v>
      </c>
      <c r="AT30" s="4">
        <f t="shared" ref="AT30:AT31" si="48">AS30</f>
        <v>2487</v>
      </c>
      <c r="AU30" s="4">
        <v>2487</v>
      </c>
      <c r="AV30" s="4">
        <v>2487</v>
      </c>
      <c r="AW30" s="4">
        <v>2487</v>
      </c>
      <c r="AX30" s="4">
        <v>2487</v>
      </c>
      <c r="AY30" s="4">
        <f t="shared" ref="AY30:AY31" si="49">AX30</f>
        <v>2487</v>
      </c>
      <c r="AZ30" s="4">
        <v>2487</v>
      </c>
      <c r="BA30" s="4">
        <v>2487</v>
      </c>
      <c r="BB30" s="18">
        <v>2487</v>
      </c>
      <c r="BC30" s="4">
        <f t="shared" si="42"/>
        <v>29844</v>
      </c>
      <c r="BD30" s="4"/>
      <c r="BE30" s="4">
        <f t="shared" si="43"/>
        <v>29844</v>
      </c>
      <c r="BF30" s="11"/>
      <c r="BH30" s="11">
        <f t="shared" si="44"/>
        <v>276337.61</v>
      </c>
    </row>
    <row r="31" spans="1:60" x14ac:dyDescent="0.2">
      <c r="A31" s="23">
        <v>108</v>
      </c>
      <c r="B31" s="23">
        <v>108</v>
      </c>
      <c r="C31" s="3" t="s">
        <v>27</v>
      </c>
      <c r="D31" s="14">
        <v>30684</v>
      </c>
      <c r="E31" s="4">
        <v>0</v>
      </c>
      <c r="F31" s="4">
        <f t="shared" si="31"/>
        <v>16512</v>
      </c>
      <c r="G31" s="4">
        <v>10541.79</v>
      </c>
      <c r="H31" s="3"/>
      <c r="I31" s="4">
        <f t="shared" si="32"/>
        <v>57737.79</v>
      </c>
      <c r="J31" s="4">
        <f t="shared" si="33"/>
        <v>0</v>
      </c>
      <c r="K31" s="15">
        <f t="shared" si="34"/>
        <v>57737.79</v>
      </c>
      <c r="L31" s="3">
        <v>0</v>
      </c>
      <c r="M31" s="18"/>
      <c r="N31" s="19"/>
      <c r="O31" s="19"/>
      <c r="P31" s="15"/>
      <c r="Q31" s="15"/>
      <c r="R31" s="15"/>
      <c r="S31" s="15"/>
      <c r="T31" s="3"/>
      <c r="U31" s="15"/>
      <c r="V31" s="15"/>
      <c r="W31" s="15"/>
      <c r="X31" s="18"/>
      <c r="Y31" s="4">
        <f>SUM(M31:X31)</f>
        <v>0</v>
      </c>
      <c r="Z31" s="4">
        <f t="shared" si="35"/>
        <v>0</v>
      </c>
      <c r="AA31" s="4"/>
      <c r="AB31" s="4"/>
      <c r="AC31" s="4"/>
      <c r="AD31" s="4"/>
      <c r="AE31" s="4"/>
      <c r="AF31" s="15"/>
      <c r="AG31" s="4"/>
      <c r="AH31" s="4"/>
      <c r="AI31" s="4"/>
      <c r="AJ31" s="4"/>
      <c r="AK31" s="4"/>
      <c r="AL31" s="4"/>
      <c r="AM31" s="4">
        <f t="shared" si="36"/>
        <v>0</v>
      </c>
      <c r="AN31" s="4"/>
      <c r="AO31" s="4">
        <f t="shared" si="37"/>
        <v>0</v>
      </c>
      <c r="AP31" s="4">
        <f t="shared" si="38"/>
        <v>0</v>
      </c>
      <c r="AQ31" s="4">
        <v>1376</v>
      </c>
      <c r="AR31" s="4">
        <f t="shared" si="46"/>
        <v>1376</v>
      </c>
      <c r="AS31" s="4">
        <f t="shared" si="47"/>
        <v>1376</v>
      </c>
      <c r="AT31" s="4">
        <f t="shared" si="48"/>
        <v>1376</v>
      </c>
      <c r="AU31" s="4">
        <v>1376</v>
      </c>
      <c r="AV31" s="4">
        <v>1376</v>
      </c>
      <c r="AW31" s="4">
        <v>1376</v>
      </c>
      <c r="AX31" s="4">
        <v>1376</v>
      </c>
      <c r="AY31" s="4">
        <f t="shared" si="49"/>
        <v>1376</v>
      </c>
      <c r="AZ31" s="4">
        <v>1376</v>
      </c>
      <c r="BA31" s="4">
        <v>1376</v>
      </c>
      <c r="BB31" s="18">
        <v>1376</v>
      </c>
      <c r="BC31" s="4">
        <f t="shared" si="42"/>
        <v>16512</v>
      </c>
      <c r="BD31" s="4"/>
      <c r="BE31" s="4">
        <f t="shared" si="43"/>
        <v>16512</v>
      </c>
      <c r="BF31" s="11"/>
      <c r="BH31" s="11">
        <f t="shared" si="44"/>
        <v>47196</v>
      </c>
    </row>
    <row r="32" spans="1:60" x14ac:dyDescent="0.2">
      <c r="A32" s="23">
        <v>1</v>
      </c>
      <c r="B32" s="23">
        <v>1</v>
      </c>
      <c r="C32" s="3" t="s">
        <v>21</v>
      </c>
      <c r="D32" s="14">
        <v>1322069.1499999999</v>
      </c>
      <c r="E32" s="4">
        <v>0</v>
      </c>
      <c r="F32" s="4">
        <f t="shared" si="31"/>
        <v>128642</v>
      </c>
      <c r="G32" s="4">
        <v>1291167.3999999999</v>
      </c>
      <c r="H32" s="14"/>
      <c r="I32" s="4">
        <f t="shared" si="32"/>
        <v>2741878.55</v>
      </c>
      <c r="J32" s="4">
        <f t="shared" si="33"/>
        <v>0</v>
      </c>
      <c r="K32" s="15">
        <f t="shared" si="34"/>
        <v>2741878.55</v>
      </c>
      <c r="L32" s="4">
        <v>90000</v>
      </c>
      <c r="M32" s="18">
        <v>0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>
        <f t="shared" ref="Y32:Y37" si="50">SUM(M32:X32)</f>
        <v>0</v>
      </c>
      <c r="Z32" s="4">
        <f t="shared" si="35"/>
        <v>90000</v>
      </c>
      <c r="AA32" s="16">
        <v>10000</v>
      </c>
      <c r="AB32" s="16">
        <v>10000</v>
      </c>
      <c r="AC32" s="16">
        <v>10000</v>
      </c>
      <c r="AD32" s="16">
        <v>10000</v>
      </c>
      <c r="AE32" s="16">
        <v>10000</v>
      </c>
      <c r="AF32" s="22">
        <v>10000</v>
      </c>
      <c r="AG32" s="16">
        <v>10000</v>
      </c>
      <c r="AH32" s="16">
        <v>10000</v>
      </c>
      <c r="AI32" s="16">
        <v>10000</v>
      </c>
      <c r="AJ32" s="16"/>
      <c r="AK32" s="16"/>
      <c r="AL32" s="16"/>
      <c r="AM32" s="4">
        <f t="shared" si="36"/>
        <v>90000</v>
      </c>
      <c r="AN32" s="4"/>
      <c r="AO32" s="4">
        <f t="shared" si="37"/>
        <v>90000</v>
      </c>
      <c r="AP32" s="4">
        <f t="shared" si="38"/>
        <v>0</v>
      </c>
      <c r="AQ32" s="4">
        <v>10680</v>
      </c>
      <c r="AR32" s="4">
        <f>AQ32</f>
        <v>10680</v>
      </c>
      <c r="AS32" s="4">
        <v>10680</v>
      </c>
      <c r="AT32" s="4">
        <v>10762.5</v>
      </c>
      <c r="AU32" s="4">
        <v>10729.5</v>
      </c>
      <c r="AV32" s="4">
        <v>10730</v>
      </c>
      <c r="AW32" s="4">
        <v>10730</v>
      </c>
      <c r="AX32" s="4">
        <v>10730</v>
      </c>
      <c r="AY32" s="4">
        <f>AX32</f>
        <v>10730</v>
      </c>
      <c r="AZ32" s="4">
        <v>10730</v>
      </c>
      <c r="BA32" s="4">
        <v>10730</v>
      </c>
      <c r="BB32" s="18">
        <v>10730</v>
      </c>
      <c r="BC32" s="4">
        <f t="shared" si="42"/>
        <v>128642</v>
      </c>
      <c r="BD32" s="4"/>
      <c r="BE32" s="4">
        <f t="shared" si="43"/>
        <v>128642</v>
      </c>
      <c r="BF32" s="11"/>
      <c r="BH32" s="11">
        <f t="shared" si="44"/>
        <v>1450711.15</v>
      </c>
    </row>
    <row r="33" spans="1:60" x14ac:dyDescent="0.2">
      <c r="A33" s="23">
        <v>2</v>
      </c>
      <c r="B33" s="23">
        <v>2</v>
      </c>
      <c r="C33" s="24" t="s">
        <v>22</v>
      </c>
      <c r="D33" s="14">
        <v>1370369.5699999998</v>
      </c>
      <c r="E33" s="4">
        <v>0</v>
      </c>
      <c r="F33" s="4">
        <f t="shared" si="31"/>
        <v>128642</v>
      </c>
      <c r="G33" s="4">
        <v>1497672.47</v>
      </c>
      <c r="H33" s="14"/>
      <c r="I33" s="4">
        <f t="shared" si="32"/>
        <v>2996684.04</v>
      </c>
      <c r="J33" s="4">
        <f t="shared" si="33"/>
        <v>0</v>
      </c>
      <c r="K33" s="15">
        <f t="shared" si="34"/>
        <v>2996684.04</v>
      </c>
      <c r="L33" s="4">
        <v>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>
        <f t="shared" si="50"/>
        <v>0</v>
      </c>
      <c r="Z33" s="4">
        <f t="shared" si="35"/>
        <v>0</v>
      </c>
      <c r="AA33" s="16"/>
      <c r="AB33" s="16"/>
      <c r="AC33" s="16"/>
      <c r="AD33" s="16"/>
      <c r="AE33" s="16"/>
      <c r="AF33" s="22"/>
      <c r="AG33" s="16"/>
      <c r="AH33" s="16"/>
      <c r="AI33" s="16"/>
      <c r="AJ33" s="16"/>
      <c r="AK33" s="16"/>
      <c r="AL33" s="16"/>
      <c r="AM33" s="4">
        <f t="shared" si="36"/>
        <v>0</v>
      </c>
      <c r="AN33" s="4"/>
      <c r="AO33" s="4">
        <f t="shared" si="37"/>
        <v>0</v>
      </c>
      <c r="AP33" s="4">
        <f t="shared" si="38"/>
        <v>0</v>
      </c>
      <c r="AQ33" s="4">
        <v>10680</v>
      </c>
      <c r="AR33" s="4">
        <f t="shared" ref="AR33:AR39" si="51">AQ33</f>
        <v>10680</v>
      </c>
      <c r="AS33" s="4">
        <v>10680</v>
      </c>
      <c r="AT33" s="4">
        <v>10762.5</v>
      </c>
      <c r="AU33" s="4">
        <v>10729.5</v>
      </c>
      <c r="AV33" s="4">
        <v>10730</v>
      </c>
      <c r="AW33" s="4">
        <v>10730</v>
      </c>
      <c r="AX33" s="4">
        <v>10730</v>
      </c>
      <c r="AY33" s="4">
        <f>AX33</f>
        <v>10730</v>
      </c>
      <c r="AZ33" s="4">
        <v>10730</v>
      </c>
      <c r="BA33" s="4">
        <v>10730</v>
      </c>
      <c r="BB33" s="18">
        <v>10730</v>
      </c>
      <c r="BC33" s="4">
        <f t="shared" si="42"/>
        <v>128642</v>
      </c>
      <c r="BD33" s="4"/>
      <c r="BE33" s="4">
        <f t="shared" si="43"/>
        <v>128642</v>
      </c>
      <c r="BF33" s="11"/>
      <c r="BH33" s="11">
        <f t="shared" si="44"/>
        <v>1499011.5699999998</v>
      </c>
    </row>
    <row r="34" spans="1:60" x14ac:dyDescent="0.2">
      <c r="A34" s="23">
        <v>3</v>
      </c>
      <c r="B34" s="23">
        <v>3</v>
      </c>
      <c r="C34" s="3" t="s">
        <v>23</v>
      </c>
      <c r="D34" s="14">
        <v>1336586.07</v>
      </c>
      <c r="E34" s="4">
        <v>0</v>
      </c>
      <c r="F34" s="4">
        <f t="shared" si="31"/>
        <v>0</v>
      </c>
      <c r="G34" s="4">
        <v>956905.63</v>
      </c>
      <c r="H34" s="17"/>
      <c r="I34" s="4">
        <f t="shared" si="32"/>
        <v>2293491.7000000002</v>
      </c>
      <c r="J34" s="4">
        <f t="shared" si="33"/>
        <v>200000</v>
      </c>
      <c r="K34" s="15">
        <f t="shared" si="34"/>
        <v>2093491.7000000002</v>
      </c>
      <c r="L34" s="4">
        <v>200000</v>
      </c>
      <c r="M34" s="18"/>
      <c r="N34" s="18"/>
      <c r="O34" s="18"/>
      <c r="P34" s="18"/>
      <c r="Q34" s="18"/>
      <c r="R34" s="18"/>
      <c r="S34" s="18"/>
      <c r="U34" s="18"/>
      <c r="V34" s="18"/>
      <c r="W34" s="18"/>
      <c r="X34" s="18"/>
      <c r="Y34" s="4">
        <f t="shared" si="50"/>
        <v>0</v>
      </c>
      <c r="Z34" s="4">
        <f t="shared" si="35"/>
        <v>200000</v>
      </c>
      <c r="AA34" s="16"/>
      <c r="AB34" s="16"/>
      <c r="AC34" s="16"/>
      <c r="AD34" s="16"/>
      <c r="AE34" s="16"/>
      <c r="AF34" s="22"/>
      <c r="AG34" s="16"/>
      <c r="AH34" s="16"/>
      <c r="AI34" s="16"/>
      <c r="AJ34" s="16"/>
      <c r="AK34" s="16"/>
      <c r="AL34" s="16"/>
      <c r="AM34" s="4">
        <f t="shared" si="36"/>
        <v>0</v>
      </c>
      <c r="AN34" s="4"/>
      <c r="AO34" s="4">
        <f t="shared" si="37"/>
        <v>0</v>
      </c>
      <c r="AP34" s="4">
        <f t="shared" si="38"/>
        <v>200000</v>
      </c>
      <c r="AQ34" s="4"/>
      <c r="AR34" s="4">
        <f t="shared" si="51"/>
        <v>0</v>
      </c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>
        <f t="shared" si="42"/>
        <v>0</v>
      </c>
      <c r="BD34" s="4"/>
      <c r="BE34" s="4">
        <f t="shared" si="43"/>
        <v>0</v>
      </c>
      <c r="BF34" s="11"/>
      <c r="BH34" s="11">
        <f t="shared" si="44"/>
        <v>1336586.07</v>
      </c>
    </row>
    <row r="35" spans="1:60" x14ac:dyDescent="0.2">
      <c r="A35" s="23">
        <v>7</v>
      </c>
      <c r="B35" s="23">
        <v>7</v>
      </c>
      <c r="C35" s="3" t="s">
        <v>24</v>
      </c>
      <c r="D35" s="14">
        <v>549035.57999999996</v>
      </c>
      <c r="E35" s="4">
        <v>0</v>
      </c>
      <c r="F35" s="4">
        <f t="shared" si="31"/>
        <v>69444</v>
      </c>
      <c r="G35" s="4">
        <v>385718.55</v>
      </c>
      <c r="H35" s="14"/>
      <c r="I35" s="4">
        <f t="shared" si="32"/>
        <v>1004198.1299999999</v>
      </c>
      <c r="J35" s="4">
        <f t="shared" si="33"/>
        <v>0</v>
      </c>
      <c r="K35" s="15">
        <f t="shared" si="34"/>
        <v>1004198.1299999999</v>
      </c>
      <c r="L35" s="4">
        <v>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4">
        <f t="shared" si="50"/>
        <v>0</v>
      </c>
      <c r="Z35" s="4">
        <f t="shared" si="35"/>
        <v>0</v>
      </c>
      <c r="AA35" s="16"/>
      <c r="AB35" s="16"/>
      <c r="AC35" s="16"/>
      <c r="AD35" s="16"/>
      <c r="AE35" s="16"/>
      <c r="AF35" s="22"/>
      <c r="AG35" s="16"/>
      <c r="AH35" s="16"/>
      <c r="AI35" s="16"/>
      <c r="AJ35" s="16"/>
      <c r="AK35" s="16"/>
      <c r="AL35" s="16"/>
      <c r="AM35" s="4">
        <f t="shared" si="36"/>
        <v>0</v>
      </c>
      <c r="AN35" s="4"/>
      <c r="AO35" s="4">
        <f t="shared" si="37"/>
        <v>0</v>
      </c>
      <c r="AP35" s="4">
        <f t="shared" si="38"/>
        <v>0</v>
      </c>
      <c r="AQ35" s="4">
        <v>5787</v>
      </c>
      <c r="AR35" s="4">
        <f t="shared" si="51"/>
        <v>5787</v>
      </c>
      <c r="AS35" s="4">
        <v>5787</v>
      </c>
      <c r="AT35" s="4">
        <v>5787</v>
      </c>
      <c r="AU35" s="4">
        <v>5787</v>
      </c>
      <c r="AV35" s="4">
        <v>5787</v>
      </c>
      <c r="AW35" s="4">
        <v>5787</v>
      </c>
      <c r="AX35" s="4">
        <v>5787</v>
      </c>
      <c r="AY35" s="4">
        <f>AX35</f>
        <v>5787</v>
      </c>
      <c r="AZ35" s="4">
        <v>5787</v>
      </c>
      <c r="BA35" s="4">
        <v>5787</v>
      </c>
      <c r="BB35" s="18">
        <v>5787</v>
      </c>
      <c r="BC35" s="4">
        <f t="shared" si="42"/>
        <v>69444</v>
      </c>
      <c r="BD35" s="4"/>
      <c r="BE35" s="4">
        <f t="shared" si="43"/>
        <v>69444</v>
      </c>
      <c r="BF35" s="11"/>
      <c r="BH35" s="11">
        <f t="shared" si="44"/>
        <v>618479.57999999996</v>
      </c>
    </row>
    <row r="36" spans="1:60" x14ac:dyDescent="0.2">
      <c r="A36" s="23">
        <v>8</v>
      </c>
      <c r="B36" s="23">
        <v>8</v>
      </c>
      <c r="C36" s="3" t="s">
        <v>25</v>
      </c>
      <c r="D36" s="14">
        <v>634574.13</v>
      </c>
      <c r="E36" s="4">
        <v>0</v>
      </c>
      <c r="F36" s="4">
        <f t="shared" si="31"/>
        <v>76752</v>
      </c>
      <c r="G36" s="4">
        <v>472229.22</v>
      </c>
      <c r="H36" s="14"/>
      <c r="I36" s="4">
        <f t="shared" si="32"/>
        <v>1183555.3500000001</v>
      </c>
      <c r="J36" s="4">
        <f t="shared" si="33"/>
        <v>544000</v>
      </c>
      <c r="K36" s="15">
        <f t="shared" si="34"/>
        <v>639555.35000000009</v>
      </c>
      <c r="L36" s="4">
        <v>736000</v>
      </c>
      <c r="M36" s="18"/>
      <c r="N36" s="18"/>
      <c r="O36" s="18"/>
      <c r="P36" s="18"/>
      <c r="Q36" s="18"/>
      <c r="R36" s="18"/>
      <c r="S36" s="18"/>
      <c r="T36" s="15"/>
      <c r="U36" s="18"/>
      <c r="V36" s="18"/>
      <c r="W36" s="18"/>
      <c r="X36" s="18"/>
      <c r="Y36" s="4">
        <f t="shared" si="50"/>
        <v>0</v>
      </c>
      <c r="Z36" s="4">
        <f t="shared" si="35"/>
        <v>736000</v>
      </c>
      <c r="AA36" s="16">
        <v>16000</v>
      </c>
      <c r="AB36" s="16">
        <v>16000</v>
      </c>
      <c r="AC36" s="16">
        <v>16000</v>
      </c>
      <c r="AD36" s="16">
        <v>16000</v>
      </c>
      <c r="AE36" s="16">
        <v>16000</v>
      </c>
      <c r="AF36" s="22">
        <v>16000</v>
      </c>
      <c r="AG36" s="16">
        <v>16000</v>
      </c>
      <c r="AH36" s="16">
        <v>16000</v>
      </c>
      <c r="AI36" s="16">
        <v>16000</v>
      </c>
      <c r="AJ36" s="16">
        <v>16000</v>
      </c>
      <c r="AK36" s="16">
        <v>16000</v>
      </c>
      <c r="AL36" s="16">
        <v>16000</v>
      </c>
      <c r="AM36" s="4">
        <f t="shared" si="36"/>
        <v>192000</v>
      </c>
      <c r="AN36" s="4"/>
      <c r="AO36" s="4">
        <f t="shared" si="37"/>
        <v>192000</v>
      </c>
      <c r="AP36" s="4">
        <f t="shared" si="38"/>
        <v>544000</v>
      </c>
      <c r="AQ36" s="4">
        <v>6396</v>
      </c>
      <c r="AR36" s="4">
        <f t="shared" si="51"/>
        <v>6396</v>
      </c>
      <c r="AS36" s="4">
        <v>6396</v>
      </c>
      <c r="AT36" s="4">
        <v>6396</v>
      </c>
      <c r="AU36" s="4">
        <v>6396</v>
      </c>
      <c r="AV36" s="4">
        <v>6396</v>
      </c>
      <c r="AW36" s="4">
        <v>6396</v>
      </c>
      <c r="AX36" s="4">
        <v>6396</v>
      </c>
      <c r="AY36" s="4">
        <f>AX36</f>
        <v>6396</v>
      </c>
      <c r="AZ36" s="4">
        <v>6396</v>
      </c>
      <c r="BA36" s="4">
        <v>6396</v>
      </c>
      <c r="BB36" s="18">
        <v>6396</v>
      </c>
      <c r="BC36" s="4">
        <f t="shared" si="42"/>
        <v>76752</v>
      </c>
      <c r="BD36" s="4"/>
      <c r="BE36" s="4">
        <f t="shared" si="43"/>
        <v>76752</v>
      </c>
      <c r="BF36" s="11"/>
      <c r="BH36" s="11">
        <f t="shared" si="44"/>
        <v>711326.13</v>
      </c>
    </row>
    <row r="37" spans="1:60" x14ac:dyDescent="0.2">
      <c r="A37" s="23">
        <v>10</v>
      </c>
      <c r="B37" s="23">
        <v>10</v>
      </c>
      <c r="C37" s="3" t="s">
        <v>64</v>
      </c>
      <c r="D37" s="14">
        <v>608785.5</v>
      </c>
      <c r="E37" s="4">
        <v>0</v>
      </c>
      <c r="F37" s="4">
        <f t="shared" si="31"/>
        <v>26523</v>
      </c>
      <c r="G37" s="4">
        <v>490390.97</v>
      </c>
      <c r="H37" s="14"/>
      <c r="I37" s="4">
        <f t="shared" si="32"/>
        <v>1125699.47</v>
      </c>
      <c r="J37" s="4">
        <f t="shared" si="33"/>
        <v>921890</v>
      </c>
      <c r="K37" s="15">
        <f t="shared" si="34"/>
        <v>203809.46999999997</v>
      </c>
      <c r="L37" s="4">
        <v>656000</v>
      </c>
      <c r="M37" s="18"/>
      <c r="N37" s="18">
        <v>323000</v>
      </c>
      <c r="O37" s="18"/>
      <c r="P37" s="18"/>
      <c r="Q37" s="18"/>
      <c r="R37" s="18"/>
      <c r="S37" s="18">
        <v>175000</v>
      </c>
      <c r="T37" s="18"/>
      <c r="U37" s="18"/>
      <c r="V37" s="18"/>
      <c r="W37" s="18"/>
      <c r="X37" s="18"/>
      <c r="Y37" s="4">
        <f t="shared" si="50"/>
        <v>498000</v>
      </c>
      <c r="Z37" s="4">
        <f t="shared" si="35"/>
        <v>1154000</v>
      </c>
      <c r="AA37" s="16">
        <v>16000</v>
      </c>
      <c r="AB37" s="16">
        <v>16000</v>
      </c>
      <c r="AC37" s="16">
        <v>19000</v>
      </c>
      <c r="AD37" s="16">
        <v>19000</v>
      </c>
      <c r="AE37" s="16">
        <v>19000</v>
      </c>
      <c r="AF37" s="22">
        <v>19000</v>
      </c>
      <c r="AG37" s="16">
        <v>18935</v>
      </c>
      <c r="AH37" s="16">
        <v>18935</v>
      </c>
      <c r="AI37" s="16">
        <v>18935</v>
      </c>
      <c r="AJ37" s="16">
        <v>22435</v>
      </c>
      <c r="AK37" s="16">
        <v>22435</v>
      </c>
      <c r="AL37" s="16">
        <v>22435</v>
      </c>
      <c r="AM37" s="4">
        <f t="shared" si="36"/>
        <v>232110</v>
      </c>
      <c r="AN37" s="4"/>
      <c r="AO37" s="4">
        <f t="shared" si="37"/>
        <v>232110</v>
      </c>
      <c r="AP37" s="4">
        <f t="shared" si="38"/>
        <v>921890</v>
      </c>
      <c r="AQ37" s="4">
        <v>2077.5</v>
      </c>
      <c r="AR37" s="4">
        <f t="shared" si="51"/>
        <v>2077.5</v>
      </c>
      <c r="AS37" s="4">
        <v>2077.5</v>
      </c>
      <c r="AT37" s="4">
        <f>AS37</f>
        <v>2077.5</v>
      </c>
      <c r="AU37" s="4">
        <v>2077.5</v>
      </c>
      <c r="AV37" s="4">
        <v>2077.5</v>
      </c>
      <c r="AW37" s="4">
        <v>2078</v>
      </c>
      <c r="AX37" s="4">
        <v>2078</v>
      </c>
      <c r="AY37" s="4">
        <f>AX37</f>
        <v>2078</v>
      </c>
      <c r="AZ37" s="4">
        <v>2608</v>
      </c>
      <c r="BA37" s="4">
        <v>2608</v>
      </c>
      <c r="BB37" s="18">
        <v>2608</v>
      </c>
      <c r="BC37" s="4">
        <f t="shared" si="42"/>
        <v>26523</v>
      </c>
      <c r="BD37" s="4"/>
      <c r="BE37" s="4">
        <f t="shared" si="43"/>
        <v>26523</v>
      </c>
      <c r="BF37" s="11"/>
      <c r="BH37" s="11">
        <f t="shared" si="44"/>
        <v>635308.5</v>
      </c>
    </row>
    <row r="38" spans="1:60" x14ac:dyDescent="0.2">
      <c r="A38" s="23">
        <v>107</v>
      </c>
      <c r="B38" s="23">
        <v>107</v>
      </c>
      <c r="C38" s="3" t="s">
        <v>26</v>
      </c>
      <c r="D38" s="14">
        <v>246493.61</v>
      </c>
      <c r="E38" s="4">
        <v>0</v>
      </c>
      <c r="F38" s="4">
        <f t="shared" ref="F38:F101" si="52">BE38</f>
        <v>29844</v>
      </c>
      <c r="G38" s="4">
        <v>75887.91</v>
      </c>
      <c r="H38" s="3"/>
      <c r="I38" s="4">
        <f t="shared" ref="I38:I101" si="53">D38+E38+F38+G38+H38</f>
        <v>352225.52</v>
      </c>
      <c r="J38" s="4">
        <f t="shared" ref="J38:J101" si="54">AP38</f>
        <v>165460</v>
      </c>
      <c r="K38" s="15">
        <f t="shared" ref="K38:K101" si="55">SUM(I38-J38)</f>
        <v>186765.52000000002</v>
      </c>
      <c r="L38" s="4">
        <v>136004</v>
      </c>
      <c r="M38" s="18"/>
      <c r="N38" s="19"/>
      <c r="O38" s="19"/>
      <c r="P38" s="15"/>
      <c r="Q38" s="15"/>
      <c r="R38" s="15">
        <v>30000</v>
      </c>
      <c r="S38" s="15"/>
      <c r="T38" s="3"/>
      <c r="U38" s="15"/>
      <c r="V38" s="15"/>
      <c r="W38" s="15"/>
      <c r="X38" s="18">
        <v>40000</v>
      </c>
      <c r="Y38" s="4">
        <f>SUM(M38:X38)</f>
        <v>70000</v>
      </c>
      <c r="Z38" s="4">
        <f t="shared" ref="Z38:Z101" si="56">SUM(L38,Y38)</f>
        <v>206004</v>
      </c>
      <c r="AA38" s="4">
        <v>3160</v>
      </c>
      <c r="AB38" s="4">
        <v>3160</v>
      </c>
      <c r="AC38" s="4">
        <v>3160</v>
      </c>
      <c r="AD38" s="4">
        <v>3160</v>
      </c>
      <c r="AE38" s="4">
        <v>3160</v>
      </c>
      <c r="AF38" s="15">
        <v>3160</v>
      </c>
      <c r="AG38" s="4">
        <v>3164</v>
      </c>
      <c r="AH38" s="4">
        <v>3164</v>
      </c>
      <c r="AI38" s="4">
        <v>3164</v>
      </c>
      <c r="AJ38" s="4">
        <v>3764</v>
      </c>
      <c r="AK38" s="4">
        <v>3764</v>
      </c>
      <c r="AL38" s="4">
        <v>4564</v>
      </c>
      <c r="AM38" s="4">
        <f t="shared" ref="AM38:AM101" si="57">AA38+AB38+AC38+AD38+AE38+AF38+AG38+AH38+AI38+AJ38+AK38+AL38</f>
        <v>40544</v>
      </c>
      <c r="AN38" s="4"/>
      <c r="AO38" s="4">
        <f t="shared" ref="AO38:AO101" si="58">AM38+AN38</f>
        <v>40544</v>
      </c>
      <c r="AP38" s="4">
        <f t="shared" ref="AP38:AP101" si="59">Z38-AO38</f>
        <v>165460</v>
      </c>
      <c r="AQ38" s="4">
        <v>2487</v>
      </c>
      <c r="AR38" s="4">
        <f t="shared" si="51"/>
        <v>2487</v>
      </c>
      <c r="AS38" s="4">
        <f t="shared" ref="AS38:AS39" si="60">AR38</f>
        <v>2487</v>
      </c>
      <c r="AT38" s="4">
        <f t="shared" ref="AT38:AT39" si="61">AS38</f>
        <v>2487</v>
      </c>
      <c r="AU38" s="4">
        <v>2487</v>
      </c>
      <c r="AV38" s="4">
        <v>2487</v>
      </c>
      <c r="AW38" s="4">
        <v>2487</v>
      </c>
      <c r="AX38" s="4">
        <v>2487</v>
      </c>
      <c r="AY38" s="4">
        <f t="shared" ref="AY38:AY39" si="62">AX38</f>
        <v>2487</v>
      </c>
      <c r="AZ38" s="4">
        <v>2487</v>
      </c>
      <c r="BA38" s="4">
        <v>2487</v>
      </c>
      <c r="BB38" s="18">
        <v>2487</v>
      </c>
      <c r="BC38" s="4">
        <f t="shared" ref="BC38:BC101" si="63">SUM(AQ38:BB38)</f>
        <v>29844</v>
      </c>
      <c r="BD38" s="4"/>
      <c r="BE38" s="4">
        <f t="shared" ref="BE38:BE101" si="64">BC38+BD38</f>
        <v>29844</v>
      </c>
      <c r="BF38" s="11"/>
      <c r="BH38" s="11">
        <f t="shared" ref="BH38:BH101" si="65">D38+F38</f>
        <v>276337.61</v>
      </c>
    </row>
    <row r="39" spans="1:60" x14ac:dyDescent="0.2">
      <c r="A39" s="23">
        <v>108</v>
      </c>
      <c r="B39" s="23">
        <v>108</v>
      </c>
      <c r="C39" s="3" t="s">
        <v>27</v>
      </c>
      <c r="D39" s="14">
        <v>30684</v>
      </c>
      <c r="E39" s="4">
        <v>0</v>
      </c>
      <c r="F39" s="4">
        <f t="shared" si="52"/>
        <v>16512</v>
      </c>
      <c r="G39" s="4">
        <v>10541.79</v>
      </c>
      <c r="H39" s="3"/>
      <c r="I39" s="4">
        <f t="shared" si="53"/>
        <v>57737.79</v>
      </c>
      <c r="J39" s="4">
        <f t="shared" si="54"/>
        <v>0</v>
      </c>
      <c r="K39" s="15">
        <f t="shared" si="55"/>
        <v>57737.79</v>
      </c>
      <c r="L39" s="3">
        <v>0</v>
      </c>
      <c r="M39" s="18"/>
      <c r="N39" s="19"/>
      <c r="O39" s="19"/>
      <c r="P39" s="15"/>
      <c r="Q39" s="15"/>
      <c r="R39" s="15"/>
      <c r="S39" s="15"/>
      <c r="T39" s="3"/>
      <c r="U39" s="15"/>
      <c r="V39" s="15"/>
      <c r="W39" s="15"/>
      <c r="X39" s="18"/>
      <c r="Y39" s="4">
        <f>SUM(M39:X39)</f>
        <v>0</v>
      </c>
      <c r="Z39" s="4">
        <f t="shared" si="56"/>
        <v>0</v>
      </c>
      <c r="AA39" s="4"/>
      <c r="AB39" s="4"/>
      <c r="AC39" s="4"/>
      <c r="AD39" s="4"/>
      <c r="AE39" s="4"/>
      <c r="AF39" s="15"/>
      <c r="AG39" s="4"/>
      <c r="AH39" s="4"/>
      <c r="AI39" s="4"/>
      <c r="AJ39" s="4"/>
      <c r="AK39" s="4"/>
      <c r="AL39" s="4"/>
      <c r="AM39" s="4">
        <f t="shared" si="57"/>
        <v>0</v>
      </c>
      <c r="AN39" s="4"/>
      <c r="AO39" s="4">
        <f t="shared" si="58"/>
        <v>0</v>
      </c>
      <c r="AP39" s="4">
        <f t="shared" si="59"/>
        <v>0</v>
      </c>
      <c r="AQ39" s="4">
        <v>1376</v>
      </c>
      <c r="AR39" s="4">
        <f t="shared" si="51"/>
        <v>1376</v>
      </c>
      <c r="AS39" s="4">
        <f t="shared" si="60"/>
        <v>1376</v>
      </c>
      <c r="AT39" s="4">
        <f t="shared" si="61"/>
        <v>1376</v>
      </c>
      <c r="AU39" s="4">
        <v>1376</v>
      </c>
      <c r="AV39" s="4">
        <v>1376</v>
      </c>
      <c r="AW39" s="4">
        <v>1376</v>
      </c>
      <c r="AX39" s="4">
        <v>1376</v>
      </c>
      <c r="AY39" s="4">
        <f t="shared" si="62"/>
        <v>1376</v>
      </c>
      <c r="AZ39" s="4">
        <v>1376</v>
      </c>
      <c r="BA39" s="4">
        <v>1376</v>
      </c>
      <c r="BB39" s="18">
        <v>1376</v>
      </c>
      <c r="BC39" s="4">
        <f t="shared" si="63"/>
        <v>16512</v>
      </c>
      <c r="BD39" s="4"/>
      <c r="BE39" s="4">
        <f t="shared" si="64"/>
        <v>16512</v>
      </c>
      <c r="BF39" s="11"/>
      <c r="BH39" s="11">
        <f t="shared" si="65"/>
        <v>47196</v>
      </c>
    </row>
    <row r="40" spans="1:60" x14ac:dyDescent="0.2">
      <c r="A40" s="23">
        <v>1</v>
      </c>
      <c r="B40" s="23">
        <v>1</v>
      </c>
      <c r="C40" s="3" t="s">
        <v>21</v>
      </c>
      <c r="D40" s="14">
        <v>1322069.1499999999</v>
      </c>
      <c r="E40" s="4">
        <v>0</v>
      </c>
      <c r="F40" s="4">
        <f t="shared" si="52"/>
        <v>128642</v>
      </c>
      <c r="G40" s="4">
        <v>1291167.3999999999</v>
      </c>
      <c r="H40" s="14"/>
      <c r="I40" s="4">
        <f t="shared" si="53"/>
        <v>2741878.55</v>
      </c>
      <c r="J40" s="4">
        <f t="shared" si="54"/>
        <v>0</v>
      </c>
      <c r="K40" s="15">
        <f t="shared" si="55"/>
        <v>2741878.55</v>
      </c>
      <c r="L40" s="4">
        <v>90000</v>
      </c>
      <c r="M40" s="18">
        <v>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4">
        <f t="shared" ref="Y40:Y45" si="66">SUM(M40:X40)</f>
        <v>0</v>
      </c>
      <c r="Z40" s="4">
        <f t="shared" si="56"/>
        <v>90000</v>
      </c>
      <c r="AA40" s="16">
        <v>10000</v>
      </c>
      <c r="AB40" s="16">
        <v>10000</v>
      </c>
      <c r="AC40" s="16">
        <v>10000</v>
      </c>
      <c r="AD40" s="16">
        <v>10000</v>
      </c>
      <c r="AE40" s="16">
        <v>10000</v>
      </c>
      <c r="AF40" s="22">
        <v>10000</v>
      </c>
      <c r="AG40" s="16">
        <v>10000</v>
      </c>
      <c r="AH40" s="16">
        <v>10000</v>
      </c>
      <c r="AI40" s="16">
        <v>10000</v>
      </c>
      <c r="AJ40" s="16"/>
      <c r="AK40" s="16"/>
      <c r="AL40" s="16"/>
      <c r="AM40" s="4">
        <f t="shared" si="57"/>
        <v>90000</v>
      </c>
      <c r="AN40" s="4"/>
      <c r="AO40" s="4">
        <f t="shared" si="58"/>
        <v>90000</v>
      </c>
      <c r="AP40" s="4">
        <f t="shared" si="59"/>
        <v>0</v>
      </c>
      <c r="AQ40" s="4">
        <v>10680</v>
      </c>
      <c r="AR40" s="4">
        <f>AQ40</f>
        <v>10680</v>
      </c>
      <c r="AS40" s="4">
        <v>10680</v>
      </c>
      <c r="AT40" s="4">
        <v>10762.5</v>
      </c>
      <c r="AU40" s="4">
        <v>10729.5</v>
      </c>
      <c r="AV40" s="4">
        <v>10730</v>
      </c>
      <c r="AW40" s="4">
        <v>10730</v>
      </c>
      <c r="AX40" s="4">
        <v>10730</v>
      </c>
      <c r="AY40" s="4">
        <f>AX40</f>
        <v>10730</v>
      </c>
      <c r="AZ40" s="4">
        <v>10730</v>
      </c>
      <c r="BA40" s="4">
        <v>10730</v>
      </c>
      <c r="BB40" s="18">
        <v>10730</v>
      </c>
      <c r="BC40" s="4">
        <f t="shared" si="63"/>
        <v>128642</v>
      </c>
      <c r="BD40" s="4"/>
      <c r="BE40" s="4">
        <f t="shared" si="64"/>
        <v>128642</v>
      </c>
      <c r="BF40" s="11"/>
      <c r="BH40" s="11">
        <f t="shared" si="65"/>
        <v>1450711.15</v>
      </c>
    </row>
    <row r="41" spans="1:60" x14ac:dyDescent="0.2">
      <c r="A41" s="23">
        <v>2</v>
      </c>
      <c r="B41" s="23">
        <v>2</v>
      </c>
      <c r="C41" s="24" t="s">
        <v>22</v>
      </c>
      <c r="D41" s="14">
        <v>1370369.5699999998</v>
      </c>
      <c r="E41" s="4">
        <v>0</v>
      </c>
      <c r="F41" s="4">
        <f t="shared" si="52"/>
        <v>128642</v>
      </c>
      <c r="G41" s="4">
        <v>1497672.47</v>
      </c>
      <c r="H41" s="14"/>
      <c r="I41" s="4">
        <f t="shared" si="53"/>
        <v>2996684.04</v>
      </c>
      <c r="J41" s="4">
        <f t="shared" si="54"/>
        <v>0</v>
      </c>
      <c r="K41" s="15">
        <f t="shared" si="55"/>
        <v>2996684.04</v>
      </c>
      <c r="L41" s="4">
        <v>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4">
        <f t="shared" si="66"/>
        <v>0</v>
      </c>
      <c r="Z41" s="4">
        <f t="shared" si="56"/>
        <v>0</v>
      </c>
      <c r="AA41" s="16"/>
      <c r="AB41" s="16"/>
      <c r="AC41" s="16"/>
      <c r="AD41" s="16"/>
      <c r="AE41" s="16"/>
      <c r="AF41" s="22"/>
      <c r="AG41" s="16"/>
      <c r="AH41" s="16"/>
      <c r="AI41" s="16"/>
      <c r="AJ41" s="16"/>
      <c r="AK41" s="16"/>
      <c r="AL41" s="16"/>
      <c r="AM41" s="4">
        <f t="shared" si="57"/>
        <v>0</v>
      </c>
      <c r="AN41" s="4"/>
      <c r="AO41" s="4">
        <f t="shared" si="58"/>
        <v>0</v>
      </c>
      <c r="AP41" s="4">
        <f t="shared" si="59"/>
        <v>0</v>
      </c>
      <c r="AQ41" s="4">
        <v>10680</v>
      </c>
      <c r="AR41" s="4">
        <f t="shared" ref="AR41:AR47" si="67">AQ41</f>
        <v>10680</v>
      </c>
      <c r="AS41" s="4">
        <v>10680</v>
      </c>
      <c r="AT41" s="4">
        <v>10762.5</v>
      </c>
      <c r="AU41" s="4">
        <v>10729.5</v>
      </c>
      <c r="AV41" s="4">
        <v>10730</v>
      </c>
      <c r="AW41" s="4">
        <v>10730</v>
      </c>
      <c r="AX41" s="4">
        <v>10730</v>
      </c>
      <c r="AY41" s="4">
        <f>AX41</f>
        <v>10730</v>
      </c>
      <c r="AZ41" s="4">
        <v>10730</v>
      </c>
      <c r="BA41" s="4">
        <v>10730</v>
      </c>
      <c r="BB41" s="18">
        <v>10730</v>
      </c>
      <c r="BC41" s="4">
        <f t="shared" si="63"/>
        <v>128642</v>
      </c>
      <c r="BD41" s="4"/>
      <c r="BE41" s="4">
        <f t="shared" si="64"/>
        <v>128642</v>
      </c>
      <c r="BF41" s="11"/>
      <c r="BH41" s="11">
        <f t="shared" si="65"/>
        <v>1499011.5699999998</v>
      </c>
    </row>
    <row r="42" spans="1:60" x14ac:dyDescent="0.2">
      <c r="A42" s="23">
        <v>3</v>
      </c>
      <c r="B42" s="23">
        <v>3</v>
      </c>
      <c r="C42" s="3" t="s">
        <v>23</v>
      </c>
      <c r="D42" s="14">
        <v>1336586.07</v>
      </c>
      <c r="E42" s="4">
        <v>0</v>
      </c>
      <c r="F42" s="4">
        <f t="shared" si="52"/>
        <v>0</v>
      </c>
      <c r="G42" s="4">
        <v>956905.63</v>
      </c>
      <c r="H42" s="17"/>
      <c r="I42" s="4">
        <f t="shared" si="53"/>
        <v>2293491.7000000002</v>
      </c>
      <c r="J42" s="4">
        <f t="shared" si="54"/>
        <v>200000</v>
      </c>
      <c r="K42" s="15">
        <f t="shared" si="55"/>
        <v>2093491.7000000002</v>
      </c>
      <c r="L42" s="4">
        <v>200000</v>
      </c>
      <c r="M42" s="18"/>
      <c r="N42" s="18"/>
      <c r="O42" s="18"/>
      <c r="P42" s="18"/>
      <c r="Q42" s="18"/>
      <c r="R42" s="18"/>
      <c r="S42" s="18"/>
      <c r="U42" s="18"/>
      <c r="V42" s="18"/>
      <c r="W42" s="18"/>
      <c r="X42" s="18"/>
      <c r="Y42" s="4">
        <f t="shared" si="66"/>
        <v>0</v>
      </c>
      <c r="Z42" s="4">
        <f t="shared" si="56"/>
        <v>200000</v>
      </c>
      <c r="AA42" s="16"/>
      <c r="AB42" s="16"/>
      <c r="AC42" s="16"/>
      <c r="AD42" s="16"/>
      <c r="AE42" s="16"/>
      <c r="AF42" s="22"/>
      <c r="AG42" s="16"/>
      <c r="AH42" s="16"/>
      <c r="AI42" s="16"/>
      <c r="AJ42" s="16"/>
      <c r="AK42" s="16"/>
      <c r="AL42" s="16"/>
      <c r="AM42" s="4">
        <f t="shared" si="57"/>
        <v>0</v>
      </c>
      <c r="AN42" s="4"/>
      <c r="AO42" s="4">
        <f t="shared" si="58"/>
        <v>0</v>
      </c>
      <c r="AP42" s="4">
        <f t="shared" si="59"/>
        <v>200000</v>
      </c>
      <c r="AQ42" s="4"/>
      <c r="AR42" s="4">
        <f t="shared" si="67"/>
        <v>0</v>
      </c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>
        <f t="shared" si="63"/>
        <v>0</v>
      </c>
      <c r="BD42" s="4"/>
      <c r="BE42" s="4">
        <f t="shared" si="64"/>
        <v>0</v>
      </c>
      <c r="BF42" s="11"/>
      <c r="BH42" s="11">
        <f t="shared" si="65"/>
        <v>1336586.07</v>
      </c>
    </row>
    <row r="43" spans="1:60" x14ac:dyDescent="0.2">
      <c r="A43" s="23">
        <v>7</v>
      </c>
      <c r="B43" s="23">
        <v>7</v>
      </c>
      <c r="C43" s="3" t="s">
        <v>24</v>
      </c>
      <c r="D43" s="14">
        <v>549035.57999999996</v>
      </c>
      <c r="E43" s="4">
        <v>0</v>
      </c>
      <c r="F43" s="4">
        <f t="shared" si="52"/>
        <v>69444</v>
      </c>
      <c r="G43" s="4">
        <v>385718.55</v>
      </c>
      <c r="H43" s="14"/>
      <c r="I43" s="4">
        <f t="shared" si="53"/>
        <v>1004198.1299999999</v>
      </c>
      <c r="J43" s="4">
        <f t="shared" si="54"/>
        <v>0</v>
      </c>
      <c r="K43" s="15">
        <f t="shared" si="55"/>
        <v>1004198.1299999999</v>
      </c>
      <c r="L43" s="4">
        <v>0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4">
        <f t="shared" si="66"/>
        <v>0</v>
      </c>
      <c r="Z43" s="4">
        <f t="shared" si="56"/>
        <v>0</v>
      </c>
      <c r="AA43" s="16"/>
      <c r="AB43" s="16"/>
      <c r="AC43" s="16"/>
      <c r="AD43" s="16"/>
      <c r="AE43" s="16"/>
      <c r="AF43" s="22"/>
      <c r="AG43" s="16"/>
      <c r="AH43" s="16"/>
      <c r="AI43" s="16"/>
      <c r="AJ43" s="16"/>
      <c r="AK43" s="16"/>
      <c r="AL43" s="16"/>
      <c r="AM43" s="4">
        <f t="shared" si="57"/>
        <v>0</v>
      </c>
      <c r="AN43" s="4"/>
      <c r="AO43" s="4">
        <f t="shared" si="58"/>
        <v>0</v>
      </c>
      <c r="AP43" s="4">
        <f t="shared" si="59"/>
        <v>0</v>
      </c>
      <c r="AQ43" s="4">
        <v>5787</v>
      </c>
      <c r="AR43" s="4">
        <f t="shared" si="67"/>
        <v>5787</v>
      </c>
      <c r="AS43" s="4">
        <v>5787</v>
      </c>
      <c r="AT43" s="4">
        <v>5787</v>
      </c>
      <c r="AU43" s="4">
        <v>5787</v>
      </c>
      <c r="AV43" s="4">
        <v>5787</v>
      </c>
      <c r="AW43" s="4">
        <v>5787</v>
      </c>
      <c r="AX43" s="4">
        <v>5787</v>
      </c>
      <c r="AY43" s="4">
        <f>AX43</f>
        <v>5787</v>
      </c>
      <c r="AZ43" s="4">
        <v>5787</v>
      </c>
      <c r="BA43" s="4">
        <v>5787</v>
      </c>
      <c r="BB43" s="18">
        <v>5787</v>
      </c>
      <c r="BC43" s="4">
        <f t="shared" si="63"/>
        <v>69444</v>
      </c>
      <c r="BD43" s="4"/>
      <c r="BE43" s="4">
        <f t="shared" si="64"/>
        <v>69444</v>
      </c>
      <c r="BF43" s="11"/>
      <c r="BH43" s="11">
        <f t="shared" si="65"/>
        <v>618479.57999999996</v>
      </c>
    </row>
    <row r="44" spans="1:60" x14ac:dyDescent="0.2">
      <c r="A44" s="23">
        <v>8</v>
      </c>
      <c r="B44" s="23">
        <v>8</v>
      </c>
      <c r="C44" s="3" t="s">
        <v>25</v>
      </c>
      <c r="D44" s="14">
        <v>634574.13</v>
      </c>
      <c r="E44" s="4">
        <v>0</v>
      </c>
      <c r="F44" s="4">
        <f t="shared" si="52"/>
        <v>76752</v>
      </c>
      <c r="G44" s="4">
        <v>472229.22</v>
      </c>
      <c r="H44" s="14"/>
      <c r="I44" s="4">
        <f t="shared" si="53"/>
        <v>1183555.3500000001</v>
      </c>
      <c r="J44" s="4">
        <f t="shared" si="54"/>
        <v>544000</v>
      </c>
      <c r="K44" s="15">
        <f t="shared" si="55"/>
        <v>639555.35000000009</v>
      </c>
      <c r="L44" s="4">
        <v>736000</v>
      </c>
      <c r="M44" s="18"/>
      <c r="N44" s="18"/>
      <c r="O44" s="18"/>
      <c r="P44" s="18"/>
      <c r="Q44" s="18"/>
      <c r="R44" s="18"/>
      <c r="S44" s="18"/>
      <c r="T44" s="15"/>
      <c r="U44" s="18"/>
      <c r="V44" s="18"/>
      <c r="W44" s="18"/>
      <c r="X44" s="18"/>
      <c r="Y44" s="4">
        <f t="shared" si="66"/>
        <v>0</v>
      </c>
      <c r="Z44" s="4">
        <f t="shared" si="56"/>
        <v>736000</v>
      </c>
      <c r="AA44" s="16">
        <v>16000</v>
      </c>
      <c r="AB44" s="16">
        <v>16000</v>
      </c>
      <c r="AC44" s="16">
        <v>16000</v>
      </c>
      <c r="AD44" s="16">
        <v>16000</v>
      </c>
      <c r="AE44" s="16">
        <v>16000</v>
      </c>
      <c r="AF44" s="22">
        <v>16000</v>
      </c>
      <c r="AG44" s="16">
        <v>16000</v>
      </c>
      <c r="AH44" s="16">
        <v>16000</v>
      </c>
      <c r="AI44" s="16">
        <v>16000</v>
      </c>
      <c r="AJ44" s="16">
        <v>16000</v>
      </c>
      <c r="AK44" s="16">
        <v>16000</v>
      </c>
      <c r="AL44" s="16">
        <v>16000</v>
      </c>
      <c r="AM44" s="4">
        <f t="shared" si="57"/>
        <v>192000</v>
      </c>
      <c r="AN44" s="4"/>
      <c r="AO44" s="4">
        <f t="shared" si="58"/>
        <v>192000</v>
      </c>
      <c r="AP44" s="4">
        <f t="shared" si="59"/>
        <v>544000</v>
      </c>
      <c r="AQ44" s="4">
        <v>6396</v>
      </c>
      <c r="AR44" s="4">
        <f t="shared" si="67"/>
        <v>6396</v>
      </c>
      <c r="AS44" s="4">
        <v>6396</v>
      </c>
      <c r="AT44" s="4">
        <v>6396</v>
      </c>
      <c r="AU44" s="4">
        <v>6396</v>
      </c>
      <c r="AV44" s="4">
        <v>6396</v>
      </c>
      <c r="AW44" s="4">
        <v>6396</v>
      </c>
      <c r="AX44" s="4">
        <v>6396</v>
      </c>
      <c r="AY44" s="4">
        <f>AX44</f>
        <v>6396</v>
      </c>
      <c r="AZ44" s="4">
        <v>6396</v>
      </c>
      <c r="BA44" s="4">
        <v>6396</v>
      </c>
      <c r="BB44" s="18">
        <v>6396</v>
      </c>
      <c r="BC44" s="4">
        <f t="shared" si="63"/>
        <v>76752</v>
      </c>
      <c r="BD44" s="4"/>
      <c r="BE44" s="4">
        <f t="shared" si="64"/>
        <v>76752</v>
      </c>
      <c r="BF44" s="11"/>
      <c r="BH44" s="11">
        <f t="shared" si="65"/>
        <v>711326.13</v>
      </c>
    </row>
    <row r="45" spans="1:60" x14ac:dyDescent="0.2">
      <c r="A45" s="23">
        <v>10</v>
      </c>
      <c r="B45" s="23">
        <v>10</v>
      </c>
      <c r="C45" s="3" t="s">
        <v>64</v>
      </c>
      <c r="D45" s="14">
        <v>608785.5</v>
      </c>
      <c r="E45" s="4">
        <v>0</v>
      </c>
      <c r="F45" s="4">
        <f t="shared" si="52"/>
        <v>26523</v>
      </c>
      <c r="G45" s="4">
        <v>490390.97</v>
      </c>
      <c r="H45" s="14"/>
      <c r="I45" s="4">
        <f t="shared" si="53"/>
        <v>1125699.47</v>
      </c>
      <c r="J45" s="4">
        <f t="shared" si="54"/>
        <v>921890</v>
      </c>
      <c r="K45" s="15">
        <f t="shared" si="55"/>
        <v>203809.46999999997</v>
      </c>
      <c r="L45" s="4">
        <v>656000</v>
      </c>
      <c r="M45" s="18"/>
      <c r="N45" s="18">
        <v>323000</v>
      </c>
      <c r="O45" s="18"/>
      <c r="P45" s="18"/>
      <c r="Q45" s="18"/>
      <c r="R45" s="18"/>
      <c r="S45" s="18">
        <v>175000</v>
      </c>
      <c r="T45" s="18"/>
      <c r="U45" s="18"/>
      <c r="V45" s="18"/>
      <c r="W45" s="18"/>
      <c r="X45" s="18"/>
      <c r="Y45" s="4">
        <f t="shared" si="66"/>
        <v>498000</v>
      </c>
      <c r="Z45" s="4">
        <f t="shared" si="56"/>
        <v>1154000</v>
      </c>
      <c r="AA45" s="16">
        <v>16000</v>
      </c>
      <c r="AB45" s="16">
        <v>16000</v>
      </c>
      <c r="AC45" s="16">
        <v>19000</v>
      </c>
      <c r="AD45" s="16">
        <v>19000</v>
      </c>
      <c r="AE45" s="16">
        <v>19000</v>
      </c>
      <c r="AF45" s="22">
        <v>19000</v>
      </c>
      <c r="AG45" s="16">
        <v>18935</v>
      </c>
      <c r="AH45" s="16">
        <v>18935</v>
      </c>
      <c r="AI45" s="16">
        <v>18935</v>
      </c>
      <c r="AJ45" s="16">
        <v>22435</v>
      </c>
      <c r="AK45" s="16">
        <v>22435</v>
      </c>
      <c r="AL45" s="16">
        <v>22435</v>
      </c>
      <c r="AM45" s="4">
        <f t="shared" si="57"/>
        <v>232110</v>
      </c>
      <c r="AN45" s="4"/>
      <c r="AO45" s="4">
        <f t="shared" si="58"/>
        <v>232110</v>
      </c>
      <c r="AP45" s="4">
        <f t="shared" si="59"/>
        <v>921890</v>
      </c>
      <c r="AQ45" s="4">
        <v>2077.5</v>
      </c>
      <c r="AR45" s="4">
        <f t="shared" si="67"/>
        <v>2077.5</v>
      </c>
      <c r="AS45" s="4">
        <v>2077.5</v>
      </c>
      <c r="AT45" s="4">
        <f>AS45</f>
        <v>2077.5</v>
      </c>
      <c r="AU45" s="4">
        <v>2077.5</v>
      </c>
      <c r="AV45" s="4">
        <v>2077.5</v>
      </c>
      <c r="AW45" s="4">
        <v>2078</v>
      </c>
      <c r="AX45" s="4">
        <v>2078</v>
      </c>
      <c r="AY45" s="4">
        <f>AX45</f>
        <v>2078</v>
      </c>
      <c r="AZ45" s="4">
        <v>2608</v>
      </c>
      <c r="BA45" s="4">
        <v>2608</v>
      </c>
      <c r="BB45" s="18">
        <v>2608</v>
      </c>
      <c r="BC45" s="4">
        <f t="shared" si="63"/>
        <v>26523</v>
      </c>
      <c r="BD45" s="4"/>
      <c r="BE45" s="4">
        <f t="shared" si="64"/>
        <v>26523</v>
      </c>
      <c r="BF45" s="11"/>
      <c r="BH45" s="11">
        <f t="shared" si="65"/>
        <v>635308.5</v>
      </c>
    </row>
    <row r="46" spans="1:60" x14ac:dyDescent="0.2">
      <c r="A46" s="23">
        <v>107</v>
      </c>
      <c r="B46" s="23">
        <v>107</v>
      </c>
      <c r="C46" s="3" t="s">
        <v>26</v>
      </c>
      <c r="D46" s="14">
        <v>246493.61</v>
      </c>
      <c r="E46" s="4">
        <v>0</v>
      </c>
      <c r="F46" s="4">
        <f t="shared" si="52"/>
        <v>29844</v>
      </c>
      <c r="G46" s="4">
        <v>75887.91</v>
      </c>
      <c r="H46" s="3"/>
      <c r="I46" s="4">
        <f t="shared" si="53"/>
        <v>352225.52</v>
      </c>
      <c r="J46" s="4">
        <f t="shared" si="54"/>
        <v>165460</v>
      </c>
      <c r="K46" s="15">
        <f t="shared" si="55"/>
        <v>186765.52000000002</v>
      </c>
      <c r="L46" s="4">
        <v>136004</v>
      </c>
      <c r="M46" s="18"/>
      <c r="N46" s="19"/>
      <c r="O46" s="19"/>
      <c r="P46" s="15"/>
      <c r="Q46" s="15"/>
      <c r="R46" s="15">
        <v>30000</v>
      </c>
      <c r="S46" s="15"/>
      <c r="T46" s="3"/>
      <c r="U46" s="15"/>
      <c r="V46" s="15"/>
      <c r="W46" s="15"/>
      <c r="X46" s="18">
        <v>40000</v>
      </c>
      <c r="Y46" s="4">
        <f>SUM(M46:X46)</f>
        <v>70000</v>
      </c>
      <c r="Z46" s="4">
        <f t="shared" si="56"/>
        <v>206004</v>
      </c>
      <c r="AA46" s="4">
        <v>3160</v>
      </c>
      <c r="AB46" s="4">
        <v>3160</v>
      </c>
      <c r="AC46" s="4">
        <v>3160</v>
      </c>
      <c r="AD46" s="4">
        <v>3160</v>
      </c>
      <c r="AE46" s="4">
        <v>3160</v>
      </c>
      <c r="AF46" s="15">
        <v>3160</v>
      </c>
      <c r="AG46" s="4">
        <v>3164</v>
      </c>
      <c r="AH46" s="4">
        <v>3164</v>
      </c>
      <c r="AI46" s="4">
        <v>3164</v>
      </c>
      <c r="AJ46" s="4">
        <v>3764</v>
      </c>
      <c r="AK46" s="4">
        <v>3764</v>
      </c>
      <c r="AL46" s="4">
        <v>4564</v>
      </c>
      <c r="AM46" s="4">
        <f t="shared" si="57"/>
        <v>40544</v>
      </c>
      <c r="AN46" s="4"/>
      <c r="AO46" s="4">
        <f t="shared" si="58"/>
        <v>40544</v>
      </c>
      <c r="AP46" s="4">
        <f t="shared" si="59"/>
        <v>165460</v>
      </c>
      <c r="AQ46" s="4">
        <v>2487</v>
      </c>
      <c r="AR46" s="4">
        <f t="shared" si="67"/>
        <v>2487</v>
      </c>
      <c r="AS46" s="4">
        <f t="shared" ref="AS46:AS47" si="68">AR46</f>
        <v>2487</v>
      </c>
      <c r="AT46" s="4">
        <f t="shared" ref="AT46:AT47" si="69">AS46</f>
        <v>2487</v>
      </c>
      <c r="AU46" s="4">
        <v>2487</v>
      </c>
      <c r="AV46" s="4">
        <v>2487</v>
      </c>
      <c r="AW46" s="4">
        <v>2487</v>
      </c>
      <c r="AX46" s="4">
        <v>2487</v>
      </c>
      <c r="AY46" s="4">
        <f t="shared" ref="AY46:AY47" si="70">AX46</f>
        <v>2487</v>
      </c>
      <c r="AZ46" s="4">
        <v>2487</v>
      </c>
      <c r="BA46" s="4">
        <v>2487</v>
      </c>
      <c r="BB46" s="18">
        <v>2487</v>
      </c>
      <c r="BC46" s="4">
        <f t="shared" si="63"/>
        <v>29844</v>
      </c>
      <c r="BD46" s="4"/>
      <c r="BE46" s="4">
        <f t="shared" si="64"/>
        <v>29844</v>
      </c>
      <c r="BF46" s="11"/>
      <c r="BH46" s="11">
        <f t="shared" si="65"/>
        <v>276337.61</v>
      </c>
    </row>
    <row r="47" spans="1:60" x14ac:dyDescent="0.2">
      <c r="A47" s="23">
        <v>108</v>
      </c>
      <c r="B47" s="23">
        <v>108</v>
      </c>
      <c r="C47" s="3" t="s">
        <v>27</v>
      </c>
      <c r="D47" s="14">
        <v>30684</v>
      </c>
      <c r="E47" s="4">
        <v>0</v>
      </c>
      <c r="F47" s="4">
        <f t="shared" si="52"/>
        <v>16512</v>
      </c>
      <c r="G47" s="4">
        <v>10541.79</v>
      </c>
      <c r="H47" s="3"/>
      <c r="I47" s="4">
        <f t="shared" si="53"/>
        <v>57737.79</v>
      </c>
      <c r="J47" s="4">
        <f t="shared" si="54"/>
        <v>0</v>
      </c>
      <c r="K47" s="15">
        <f t="shared" si="55"/>
        <v>57737.79</v>
      </c>
      <c r="L47" s="3">
        <v>0</v>
      </c>
      <c r="M47" s="18"/>
      <c r="N47" s="19"/>
      <c r="O47" s="19"/>
      <c r="P47" s="15"/>
      <c r="Q47" s="15"/>
      <c r="R47" s="15"/>
      <c r="S47" s="15"/>
      <c r="T47" s="3"/>
      <c r="U47" s="15"/>
      <c r="V47" s="15"/>
      <c r="W47" s="15"/>
      <c r="X47" s="18"/>
      <c r="Y47" s="4">
        <f>SUM(M47:X47)</f>
        <v>0</v>
      </c>
      <c r="Z47" s="4">
        <f t="shared" si="56"/>
        <v>0</v>
      </c>
      <c r="AA47" s="4"/>
      <c r="AB47" s="4"/>
      <c r="AC47" s="4"/>
      <c r="AD47" s="4"/>
      <c r="AE47" s="4"/>
      <c r="AF47" s="15"/>
      <c r="AG47" s="4"/>
      <c r="AH47" s="4"/>
      <c r="AI47" s="4"/>
      <c r="AJ47" s="4"/>
      <c r="AK47" s="4"/>
      <c r="AL47" s="4"/>
      <c r="AM47" s="4">
        <f t="shared" si="57"/>
        <v>0</v>
      </c>
      <c r="AN47" s="4"/>
      <c r="AO47" s="4">
        <f t="shared" si="58"/>
        <v>0</v>
      </c>
      <c r="AP47" s="4">
        <f t="shared" si="59"/>
        <v>0</v>
      </c>
      <c r="AQ47" s="4">
        <v>1376</v>
      </c>
      <c r="AR47" s="4">
        <f t="shared" si="67"/>
        <v>1376</v>
      </c>
      <c r="AS47" s="4">
        <f t="shared" si="68"/>
        <v>1376</v>
      </c>
      <c r="AT47" s="4">
        <f t="shared" si="69"/>
        <v>1376</v>
      </c>
      <c r="AU47" s="4">
        <v>1376</v>
      </c>
      <c r="AV47" s="4">
        <v>1376</v>
      </c>
      <c r="AW47" s="4">
        <v>1376</v>
      </c>
      <c r="AX47" s="4">
        <v>1376</v>
      </c>
      <c r="AY47" s="4">
        <f t="shared" si="70"/>
        <v>1376</v>
      </c>
      <c r="AZ47" s="4">
        <v>1376</v>
      </c>
      <c r="BA47" s="4">
        <v>1376</v>
      </c>
      <c r="BB47" s="18">
        <v>1376</v>
      </c>
      <c r="BC47" s="4">
        <f t="shared" si="63"/>
        <v>16512</v>
      </c>
      <c r="BD47" s="4"/>
      <c r="BE47" s="4">
        <f t="shared" si="64"/>
        <v>16512</v>
      </c>
      <c r="BF47" s="11"/>
      <c r="BH47" s="11">
        <f t="shared" si="65"/>
        <v>47196</v>
      </c>
    </row>
    <row r="48" spans="1:60" x14ac:dyDescent="0.2">
      <c r="A48" s="23">
        <v>1</v>
      </c>
      <c r="B48" s="23">
        <v>1</v>
      </c>
      <c r="C48" s="3" t="s">
        <v>21</v>
      </c>
      <c r="D48" s="14">
        <v>1322069.1499999999</v>
      </c>
      <c r="E48" s="4">
        <v>0</v>
      </c>
      <c r="F48" s="4">
        <f t="shared" si="52"/>
        <v>128642</v>
      </c>
      <c r="G48" s="4">
        <v>1291167.3999999999</v>
      </c>
      <c r="H48" s="14"/>
      <c r="I48" s="4">
        <f t="shared" si="53"/>
        <v>2741878.55</v>
      </c>
      <c r="J48" s="4">
        <f t="shared" si="54"/>
        <v>0</v>
      </c>
      <c r="K48" s="15">
        <f t="shared" si="55"/>
        <v>2741878.55</v>
      </c>
      <c r="L48" s="4">
        <v>90000</v>
      </c>
      <c r="M48" s="18">
        <v>0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4">
        <f t="shared" ref="Y48:Y53" si="71">SUM(M48:X48)</f>
        <v>0</v>
      </c>
      <c r="Z48" s="4">
        <f t="shared" si="56"/>
        <v>90000</v>
      </c>
      <c r="AA48" s="16">
        <v>10000</v>
      </c>
      <c r="AB48" s="16">
        <v>10000</v>
      </c>
      <c r="AC48" s="16">
        <v>10000</v>
      </c>
      <c r="AD48" s="16">
        <v>10000</v>
      </c>
      <c r="AE48" s="16">
        <v>10000</v>
      </c>
      <c r="AF48" s="22">
        <v>10000</v>
      </c>
      <c r="AG48" s="16">
        <v>10000</v>
      </c>
      <c r="AH48" s="16">
        <v>10000</v>
      </c>
      <c r="AI48" s="16">
        <v>10000</v>
      </c>
      <c r="AJ48" s="16"/>
      <c r="AK48" s="16"/>
      <c r="AL48" s="16"/>
      <c r="AM48" s="4">
        <f t="shared" si="57"/>
        <v>90000</v>
      </c>
      <c r="AN48" s="4"/>
      <c r="AO48" s="4">
        <f t="shared" si="58"/>
        <v>90000</v>
      </c>
      <c r="AP48" s="4">
        <f t="shared" si="59"/>
        <v>0</v>
      </c>
      <c r="AQ48" s="4">
        <v>10680</v>
      </c>
      <c r="AR48" s="4">
        <f>AQ48</f>
        <v>10680</v>
      </c>
      <c r="AS48" s="4">
        <v>10680</v>
      </c>
      <c r="AT48" s="4">
        <v>10762.5</v>
      </c>
      <c r="AU48" s="4">
        <v>10729.5</v>
      </c>
      <c r="AV48" s="4">
        <v>10730</v>
      </c>
      <c r="AW48" s="4">
        <v>10730</v>
      </c>
      <c r="AX48" s="4">
        <v>10730</v>
      </c>
      <c r="AY48" s="4">
        <f>AX48</f>
        <v>10730</v>
      </c>
      <c r="AZ48" s="4">
        <v>10730</v>
      </c>
      <c r="BA48" s="4">
        <v>10730</v>
      </c>
      <c r="BB48" s="18">
        <v>10730</v>
      </c>
      <c r="BC48" s="4">
        <f t="shared" si="63"/>
        <v>128642</v>
      </c>
      <c r="BD48" s="4"/>
      <c r="BE48" s="4">
        <f t="shared" si="64"/>
        <v>128642</v>
      </c>
      <c r="BF48" s="11"/>
      <c r="BH48" s="11">
        <f t="shared" si="65"/>
        <v>1450711.15</v>
      </c>
    </row>
    <row r="49" spans="1:60" x14ac:dyDescent="0.2">
      <c r="A49" s="23">
        <v>2</v>
      </c>
      <c r="B49" s="23">
        <v>2</v>
      </c>
      <c r="C49" s="24" t="s">
        <v>22</v>
      </c>
      <c r="D49" s="14">
        <v>1370369.5699999998</v>
      </c>
      <c r="E49" s="4">
        <v>0</v>
      </c>
      <c r="F49" s="4">
        <f t="shared" si="52"/>
        <v>128642</v>
      </c>
      <c r="G49" s="4">
        <v>1497672.47</v>
      </c>
      <c r="H49" s="14"/>
      <c r="I49" s="4">
        <f t="shared" si="53"/>
        <v>2996684.04</v>
      </c>
      <c r="J49" s="4">
        <f t="shared" si="54"/>
        <v>0</v>
      </c>
      <c r="K49" s="15">
        <f t="shared" si="55"/>
        <v>2996684.04</v>
      </c>
      <c r="L49" s="4">
        <v>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4">
        <f t="shared" si="71"/>
        <v>0</v>
      </c>
      <c r="Z49" s="4">
        <f t="shared" si="56"/>
        <v>0</v>
      </c>
      <c r="AA49" s="16"/>
      <c r="AB49" s="16"/>
      <c r="AC49" s="16"/>
      <c r="AD49" s="16"/>
      <c r="AE49" s="16"/>
      <c r="AF49" s="22"/>
      <c r="AG49" s="16"/>
      <c r="AH49" s="16"/>
      <c r="AI49" s="16"/>
      <c r="AJ49" s="16"/>
      <c r="AK49" s="16"/>
      <c r="AL49" s="16"/>
      <c r="AM49" s="4">
        <f t="shared" si="57"/>
        <v>0</v>
      </c>
      <c r="AN49" s="4"/>
      <c r="AO49" s="4">
        <f t="shared" si="58"/>
        <v>0</v>
      </c>
      <c r="AP49" s="4">
        <f t="shared" si="59"/>
        <v>0</v>
      </c>
      <c r="AQ49" s="4">
        <v>10680</v>
      </c>
      <c r="AR49" s="4">
        <f t="shared" ref="AR49:AR54" si="72">AQ49</f>
        <v>10680</v>
      </c>
      <c r="AS49" s="4">
        <v>10680</v>
      </c>
      <c r="AT49" s="4">
        <v>10762.5</v>
      </c>
      <c r="AU49" s="4">
        <v>10729.5</v>
      </c>
      <c r="AV49" s="4">
        <v>10730</v>
      </c>
      <c r="AW49" s="4">
        <v>10730</v>
      </c>
      <c r="AX49" s="4">
        <v>10730</v>
      </c>
      <c r="AY49" s="4">
        <f>AX49</f>
        <v>10730</v>
      </c>
      <c r="AZ49" s="4">
        <v>10730</v>
      </c>
      <c r="BA49" s="4">
        <v>10730</v>
      </c>
      <c r="BB49" s="18">
        <v>10730</v>
      </c>
      <c r="BC49" s="4">
        <f t="shared" si="63"/>
        <v>128642</v>
      </c>
      <c r="BD49" s="4"/>
      <c r="BE49" s="4">
        <f t="shared" si="64"/>
        <v>128642</v>
      </c>
      <c r="BF49" s="11"/>
      <c r="BH49" s="11">
        <f t="shared" si="65"/>
        <v>1499011.5699999998</v>
      </c>
    </row>
    <row r="50" spans="1:60" x14ac:dyDescent="0.2">
      <c r="A50" s="23">
        <v>3</v>
      </c>
      <c r="B50" s="23">
        <v>3</v>
      </c>
      <c r="C50" s="3" t="s">
        <v>23</v>
      </c>
      <c r="D50" s="14">
        <v>1336586.07</v>
      </c>
      <c r="E50" s="4">
        <v>0</v>
      </c>
      <c r="F50" s="4">
        <f t="shared" si="52"/>
        <v>0</v>
      </c>
      <c r="G50" s="4">
        <v>956905.63</v>
      </c>
      <c r="H50" s="17"/>
      <c r="I50" s="4">
        <f t="shared" si="53"/>
        <v>2293491.7000000002</v>
      </c>
      <c r="J50" s="4">
        <f t="shared" si="54"/>
        <v>200000</v>
      </c>
      <c r="K50" s="15">
        <f t="shared" si="55"/>
        <v>2093491.7000000002</v>
      </c>
      <c r="L50" s="4">
        <v>200000</v>
      </c>
      <c r="M50" s="18"/>
      <c r="N50" s="18"/>
      <c r="O50" s="18"/>
      <c r="P50" s="18"/>
      <c r="Q50" s="18"/>
      <c r="R50" s="18"/>
      <c r="S50" s="18"/>
      <c r="U50" s="18"/>
      <c r="V50" s="18"/>
      <c r="W50" s="18"/>
      <c r="X50" s="18"/>
      <c r="Y50" s="4">
        <f t="shared" si="71"/>
        <v>0</v>
      </c>
      <c r="Z50" s="4">
        <f t="shared" si="56"/>
        <v>200000</v>
      </c>
      <c r="AA50" s="16"/>
      <c r="AB50" s="16"/>
      <c r="AC50" s="16"/>
      <c r="AD50" s="16"/>
      <c r="AE50" s="16"/>
      <c r="AF50" s="22"/>
      <c r="AG50" s="16"/>
      <c r="AH50" s="16"/>
      <c r="AI50" s="16"/>
      <c r="AJ50" s="16"/>
      <c r="AK50" s="16"/>
      <c r="AL50" s="16"/>
      <c r="AM50" s="4">
        <f t="shared" si="57"/>
        <v>0</v>
      </c>
      <c r="AN50" s="4"/>
      <c r="AO50" s="4">
        <f t="shared" si="58"/>
        <v>0</v>
      </c>
      <c r="AP50" s="4">
        <f t="shared" si="59"/>
        <v>200000</v>
      </c>
      <c r="AQ50" s="4"/>
      <c r="AR50" s="4">
        <f t="shared" si="72"/>
        <v>0</v>
      </c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>
        <f t="shared" si="63"/>
        <v>0</v>
      </c>
      <c r="BD50" s="4"/>
      <c r="BE50" s="4">
        <f t="shared" si="64"/>
        <v>0</v>
      </c>
      <c r="BF50" s="11"/>
      <c r="BH50" s="11">
        <f t="shared" si="65"/>
        <v>1336586.07</v>
      </c>
    </row>
    <row r="51" spans="1:60" x14ac:dyDescent="0.2">
      <c r="A51" s="23">
        <v>7</v>
      </c>
      <c r="B51" s="23">
        <v>7</v>
      </c>
      <c r="C51" s="3" t="s">
        <v>24</v>
      </c>
      <c r="D51" s="14">
        <v>549035.57999999996</v>
      </c>
      <c r="E51" s="4">
        <v>0</v>
      </c>
      <c r="F51" s="4">
        <f t="shared" si="52"/>
        <v>69444</v>
      </c>
      <c r="G51" s="4">
        <v>385718.55</v>
      </c>
      <c r="H51" s="14"/>
      <c r="I51" s="4">
        <f t="shared" si="53"/>
        <v>1004198.1299999999</v>
      </c>
      <c r="J51" s="4">
        <f t="shared" si="54"/>
        <v>0</v>
      </c>
      <c r="K51" s="15">
        <f t="shared" si="55"/>
        <v>1004198.1299999999</v>
      </c>
      <c r="L51" s="4">
        <v>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4">
        <f t="shared" si="71"/>
        <v>0</v>
      </c>
      <c r="Z51" s="4">
        <f t="shared" si="56"/>
        <v>0</v>
      </c>
      <c r="AA51" s="16"/>
      <c r="AB51" s="16"/>
      <c r="AC51" s="16"/>
      <c r="AD51" s="16"/>
      <c r="AE51" s="16"/>
      <c r="AF51" s="22"/>
      <c r="AG51" s="16"/>
      <c r="AH51" s="16"/>
      <c r="AI51" s="16"/>
      <c r="AJ51" s="16"/>
      <c r="AK51" s="16"/>
      <c r="AL51" s="16"/>
      <c r="AM51" s="4">
        <f t="shared" si="57"/>
        <v>0</v>
      </c>
      <c r="AN51" s="4"/>
      <c r="AO51" s="4">
        <f t="shared" si="58"/>
        <v>0</v>
      </c>
      <c r="AP51" s="4">
        <f t="shared" si="59"/>
        <v>0</v>
      </c>
      <c r="AQ51" s="4">
        <v>5787</v>
      </c>
      <c r="AR51" s="4">
        <f t="shared" si="72"/>
        <v>5787</v>
      </c>
      <c r="AS51" s="4">
        <v>5787</v>
      </c>
      <c r="AT51" s="4">
        <v>5787</v>
      </c>
      <c r="AU51" s="4">
        <v>5787</v>
      </c>
      <c r="AV51" s="4">
        <v>5787</v>
      </c>
      <c r="AW51" s="4">
        <v>5787</v>
      </c>
      <c r="AX51" s="4">
        <v>5787</v>
      </c>
      <c r="AY51" s="4">
        <f>AX51</f>
        <v>5787</v>
      </c>
      <c r="AZ51" s="4">
        <v>5787</v>
      </c>
      <c r="BA51" s="4">
        <v>5787</v>
      </c>
      <c r="BB51" s="18">
        <v>5787</v>
      </c>
      <c r="BC51" s="4">
        <f t="shared" si="63"/>
        <v>69444</v>
      </c>
      <c r="BD51" s="4"/>
      <c r="BE51" s="4">
        <f t="shared" si="64"/>
        <v>69444</v>
      </c>
      <c r="BF51" s="11"/>
      <c r="BH51" s="11">
        <f t="shared" si="65"/>
        <v>618479.57999999996</v>
      </c>
    </row>
    <row r="52" spans="1:60" x14ac:dyDescent="0.2">
      <c r="A52" s="23">
        <v>8</v>
      </c>
      <c r="B52" s="23">
        <v>8</v>
      </c>
      <c r="C52" s="3" t="s">
        <v>25</v>
      </c>
      <c r="D52" s="14">
        <v>634574.13</v>
      </c>
      <c r="E52" s="4">
        <v>0</v>
      </c>
      <c r="F52" s="4">
        <f t="shared" si="52"/>
        <v>76752</v>
      </c>
      <c r="G52" s="4">
        <v>472229.22</v>
      </c>
      <c r="H52" s="14"/>
      <c r="I52" s="4">
        <f t="shared" si="53"/>
        <v>1183555.3500000001</v>
      </c>
      <c r="J52" s="4">
        <f t="shared" si="54"/>
        <v>544000</v>
      </c>
      <c r="K52" s="15">
        <f t="shared" si="55"/>
        <v>639555.35000000009</v>
      </c>
      <c r="L52" s="4">
        <v>736000</v>
      </c>
      <c r="M52" s="18"/>
      <c r="N52" s="18"/>
      <c r="O52" s="18"/>
      <c r="P52" s="18"/>
      <c r="Q52" s="18"/>
      <c r="R52" s="18"/>
      <c r="S52" s="18"/>
      <c r="T52" s="15"/>
      <c r="U52" s="18"/>
      <c r="V52" s="18"/>
      <c r="W52" s="18"/>
      <c r="X52" s="18"/>
      <c r="Y52" s="4">
        <f t="shared" si="71"/>
        <v>0</v>
      </c>
      <c r="Z52" s="4">
        <f t="shared" si="56"/>
        <v>736000</v>
      </c>
      <c r="AA52" s="16">
        <v>16000</v>
      </c>
      <c r="AB52" s="16">
        <v>16000</v>
      </c>
      <c r="AC52" s="16">
        <v>16000</v>
      </c>
      <c r="AD52" s="16">
        <v>16000</v>
      </c>
      <c r="AE52" s="16">
        <v>16000</v>
      </c>
      <c r="AF52" s="22">
        <v>16000</v>
      </c>
      <c r="AG52" s="16">
        <v>16000</v>
      </c>
      <c r="AH52" s="16">
        <v>16000</v>
      </c>
      <c r="AI52" s="16">
        <v>16000</v>
      </c>
      <c r="AJ52" s="16">
        <v>16000</v>
      </c>
      <c r="AK52" s="16">
        <v>16000</v>
      </c>
      <c r="AL52" s="16">
        <v>16000</v>
      </c>
      <c r="AM52" s="4">
        <f t="shared" si="57"/>
        <v>192000</v>
      </c>
      <c r="AN52" s="4"/>
      <c r="AO52" s="4">
        <f t="shared" si="58"/>
        <v>192000</v>
      </c>
      <c r="AP52" s="4">
        <f t="shared" si="59"/>
        <v>544000</v>
      </c>
      <c r="AQ52" s="4">
        <v>6396</v>
      </c>
      <c r="AR52" s="4">
        <f t="shared" si="72"/>
        <v>6396</v>
      </c>
      <c r="AS52" s="4">
        <v>6396</v>
      </c>
      <c r="AT52" s="4">
        <v>6396</v>
      </c>
      <c r="AU52" s="4">
        <v>6396</v>
      </c>
      <c r="AV52" s="4">
        <v>6396</v>
      </c>
      <c r="AW52" s="4">
        <v>6396</v>
      </c>
      <c r="AX52" s="4">
        <v>6396</v>
      </c>
      <c r="AY52" s="4">
        <f>AX52</f>
        <v>6396</v>
      </c>
      <c r="AZ52" s="4">
        <v>6396</v>
      </c>
      <c r="BA52" s="4">
        <v>6396</v>
      </c>
      <c r="BB52" s="18">
        <v>6396</v>
      </c>
      <c r="BC52" s="4">
        <f t="shared" si="63"/>
        <v>76752</v>
      </c>
      <c r="BD52" s="4"/>
      <c r="BE52" s="4">
        <f t="shared" si="64"/>
        <v>76752</v>
      </c>
      <c r="BF52" s="11"/>
      <c r="BH52" s="11">
        <f t="shared" si="65"/>
        <v>711326.13</v>
      </c>
    </row>
    <row r="53" spans="1:60" x14ac:dyDescent="0.2">
      <c r="A53" s="23">
        <v>10</v>
      </c>
      <c r="B53" s="23">
        <v>10</v>
      </c>
      <c r="C53" s="3" t="s">
        <v>64</v>
      </c>
      <c r="D53" s="14">
        <v>608785.5</v>
      </c>
      <c r="E53" s="4">
        <v>0</v>
      </c>
      <c r="F53" s="4">
        <f t="shared" si="52"/>
        <v>26523</v>
      </c>
      <c r="G53" s="4">
        <v>490390.97</v>
      </c>
      <c r="H53" s="14"/>
      <c r="I53" s="4">
        <f t="shared" si="53"/>
        <v>1125699.47</v>
      </c>
      <c r="J53" s="4">
        <f t="shared" si="54"/>
        <v>921890</v>
      </c>
      <c r="K53" s="15">
        <f t="shared" si="55"/>
        <v>203809.46999999997</v>
      </c>
      <c r="L53" s="4">
        <v>656000</v>
      </c>
      <c r="M53" s="18"/>
      <c r="N53" s="18">
        <v>323000</v>
      </c>
      <c r="O53" s="18"/>
      <c r="P53" s="18"/>
      <c r="Q53" s="18"/>
      <c r="R53" s="18"/>
      <c r="S53" s="18">
        <v>175000</v>
      </c>
      <c r="T53" s="18"/>
      <c r="U53" s="18"/>
      <c r="V53" s="18"/>
      <c r="W53" s="18"/>
      <c r="X53" s="18"/>
      <c r="Y53" s="4">
        <f t="shared" si="71"/>
        <v>498000</v>
      </c>
      <c r="Z53" s="4">
        <f t="shared" si="56"/>
        <v>1154000</v>
      </c>
      <c r="AA53" s="16">
        <v>16000</v>
      </c>
      <c r="AB53" s="16">
        <v>16000</v>
      </c>
      <c r="AC53" s="16">
        <v>19000</v>
      </c>
      <c r="AD53" s="16">
        <v>19000</v>
      </c>
      <c r="AE53" s="16">
        <v>19000</v>
      </c>
      <c r="AF53" s="22">
        <v>19000</v>
      </c>
      <c r="AG53" s="16">
        <v>18935</v>
      </c>
      <c r="AH53" s="16">
        <v>18935</v>
      </c>
      <c r="AI53" s="16">
        <v>18935</v>
      </c>
      <c r="AJ53" s="16">
        <v>22435</v>
      </c>
      <c r="AK53" s="16">
        <v>22435</v>
      </c>
      <c r="AL53" s="16">
        <v>22435</v>
      </c>
      <c r="AM53" s="4">
        <f t="shared" si="57"/>
        <v>232110</v>
      </c>
      <c r="AN53" s="4"/>
      <c r="AO53" s="4">
        <f t="shared" si="58"/>
        <v>232110</v>
      </c>
      <c r="AP53" s="4">
        <f t="shared" si="59"/>
        <v>921890</v>
      </c>
      <c r="AQ53" s="4">
        <v>2077.5</v>
      </c>
      <c r="AR53" s="4">
        <f t="shared" si="72"/>
        <v>2077.5</v>
      </c>
      <c r="AS53" s="4">
        <v>2077.5</v>
      </c>
      <c r="AT53" s="4">
        <f>AS53</f>
        <v>2077.5</v>
      </c>
      <c r="AU53" s="4">
        <v>2077.5</v>
      </c>
      <c r="AV53" s="4">
        <v>2077.5</v>
      </c>
      <c r="AW53" s="4">
        <v>2078</v>
      </c>
      <c r="AX53" s="4">
        <v>2078</v>
      </c>
      <c r="AY53" s="4">
        <f>AX53</f>
        <v>2078</v>
      </c>
      <c r="AZ53" s="4">
        <v>2608</v>
      </c>
      <c r="BA53" s="4">
        <v>2608</v>
      </c>
      <c r="BB53" s="18">
        <v>2608</v>
      </c>
      <c r="BC53" s="4">
        <f t="shared" si="63"/>
        <v>26523</v>
      </c>
      <c r="BD53" s="4"/>
      <c r="BE53" s="4">
        <f t="shared" si="64"/>
        <v>26523</v>
      </c>
      <c r="BF53" s="11"/>
      <c r="BH53" s="11">
        <f t="shared" si="65"/>
        <v>635308.5</v>
      </c>
    </row>
    <row r="54" spans="1:60" x14ac:dyDescent="0.2">
      <c r="A54" s="23">
        <v>107</v>
      </c>
      <c r="B54" s="23">
        <v>107</v>
      </c>
      <c r="C54" s="3" t="s">
        <v>26</v>
      </c>
      <c r="D54" s="14">
        <v>246493.61</v>
      </c>
      <c r="E54" s="4">
        <v>0</v>
      </c>
      <c r="F54" s="4">
        <f t="shared" si="52"/>
        <v>29844</v>
      </c>
      <c r="G54" s="4">
        <v>75887.91</v>
      </c>
      <c r="H54" s="3"/>
      <c r="I54" s="4">
        <f t="shared" si="53"/>
        <v>352225.52</v>
      </c>
      <c r="J54" s="4">
        <f t="shared" si="54"/>
        <v>165460</v>
      </c>
      <c r="K54" s="15">
        <f t="shared" si="55"/>
        <v>186765.52000000002</v>
      </c>
      <c r="L54" s="4">
        <v>136004</v>
      </c>
      <c r="M54" s="18"/>
      <c r="N54" s="19"/>
      <c r="O54" s="19"/>
      <c r="P54" s="15"/>
      <c r="Q54" s="15"/>
      <c r="R54" s="15">
        <v>30000</v>
      </c>
      <c r="S54" s="15"/>
      <c r="T54" s="3"/>
      <c r="U54" s="15"/>
      <c r="V54" s="15"/>
      <c r="W54" s="15"/>
      <c r="X54" s="18">
        <v>40000</v>
      </c>
      <c r="Y54" s="4">
        <f>SUM(M54:X54)</f>
        <v>70000</v>
      </c>
      <c r="Z54" s="4">
        <f t="shared" si="56"/>
        <v>206004</v>
      </c>
      <c r="AA54" s="4">
        <v>3160</v>
      </c>
      <c r="AB54" s="4">
        <v>3160</v>
      </c>
      <c r="AC54" s="4">
        <v>3160</v>
      </c>
      <c r="AD54" s="4">
        <v>3160</v>
      </c>
      <c r="AE54" s="4">
        <v>3160</v>
      </c>
      <c r="AF54" s="15">
        <v>3160</v>
      </c>
      <c r="AG54" s="4">
        <v>3164</v>
      </c>
      <c r="AH54" s="4">
        <v>3164</v>
      </c>
      <c r="AI54" s="4">
        <v>3164</v>
      </c>
      <c r="AJ54" s="4">
        <v>3764</v>
      </c>
      <c r="AK54" s="4">
        <v>3764</v>
      </c>
      <c r="AL54" s="4">
        <v>4564</v>
      </c>
      <c r="AM54" s="4">
        <f t="shared" si="57"/>
        <v>40544</v>
      </c>
      <c r="AN54" s="4"/>
      <c r="AO54" s="4">
        <f t="shared" si="58"/>
        <v>40544</v>
      </c>
      <c r="AP54" s="4">
        <f t="shared" si="59"/>
        <v>165460</v>
      </c>
      <c r="AQ54" s="4">
        <v>2487</v>
      </c>
      <c r="AR54" s="4">
        <f t="shared" si="72"/>
        <v>2487</v>
      </c>
      <c r="AS54" s="4">
        <f t="shared" ref="AS54" si="73">AR54</f>
        <v>2487</v>
      </c>
      <c r="AT54" s="4">
        <f t="shared" ref="AT54" si="74">AS54</f>
        <v>2487</v>
      </c>
      <c r="AU54" s="4">
        <v>2487</v>
      </c>
      <c r="AV54" s="4">
        <v>2487</v>
      </c>
      <c r="AW54" s="4">
        <v>2487</v>
      </c>
      <c r="AX54" s="4">
        <v>2487</v>
      </c>
      <c r="AY54" s="4">
        <f t="shared" ref="AY54" si="75">AX54</f>
        <v>2487</v>
      </c>
      <c r="AZ54" s="4">
        <v>2487</v>
      </c>
      <c r="BA54" s="4">
        <v>2487</v>
      </c>
      <c r="BB54" s="18">
        <v>2487</v>
      </c>
      <c r="BC54" s="4">
        <f t="shared" si="63"/>
        <v>29844</v>
      </c>
      <c r="BD54" s="4"/>
      <c r="BE54" s="4">
        <f t="shared" si="64"/>
        <v>29844</v>
      </c>
      <c r="BF54" s="11"/>
      <c r="BH54" s="11">
        <f t="shared" si="65"/>
        <v>276337.61</v>
      </c>
    </row>
    <row r="55" spans="1:60" x14ac:dyDescent="0.2">
      <c r="A55" s="23">
        <v>1</v>
      </c>
      <c r="B55" s="23">
        <v>1</v>
      </c>
      <c r="C55" s="3" t="s">
        <v>21</v>
      </c>
      <c r="D55" s="14">
        <v>1322069.1499999999</v>
      </c>
      <c r="E55" s="4">
        <v>0</v>
      </c>
      <c r="F55" s="4">
        <f t="shared" si="52"/>
        <v>128642</v>
      </c>
      <c r="G55" s="4">
        <v>1291167.3999999999</v>
      </c>
      <c r="H55" s="14"/>
      <c r="I55" s="4">
        <f t="shared" si="53"/>
        <v>2741878.55</v>
      </c>
      <c r="J55" s="4">
        <f t="shared" si="54"/>
        <v>0</v>
      </c>
      <c r="K55" s="15">
        <f t="shared" si="55"/>
        <v>2741878.55</v>
      </c>
      <c r="L55" s="4">
        <v>90000</v>
      </c>
      <c r="M55" s="18">
        <v>0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4">
        <f t="shared" ref="Y55:Y60" si="76">SUM(M55:X55)</f>
        <v>0</v>
      </c>
      <c r="Z55" s="4">
        <f t="shared" si="56"/>
        <v>90000</v>
      </c>
      <c r="AA55" s="16">
        <v>10000</v>
      </c>
      <c r="AB55" s="16">
        <v>10000</v>
      </c>
      <c r="AC55" s="16">
        <v>10000</v>
      </c>
      <c r="AD55" s="16">
        <v>10000</v>
      </c>
      <c r="AE55" s="16">
        <v>10000</v>
      </c>
      <c r="AF55" s="22">
        <v>10000</v>
      </c>
      <c r="AG55" s="16">
        <v>10000</v>
      </c>
      <c r="AH55" s="16">
        <v>10000</v>
      </c>
      <c r="AI55" s="16">
        <v>10000</v>
      </c>
      <c r="AJ55" s="16"/>
      <c r="AK55" s="16"/>
      <c r="AL55" s="16"/>
      <c r="AM55" s="4">
        <f t="shared" si="57"/>
        <v>90000</v>
      </c>
      <c r="AN55" s="4"/>
      <c r="AO55" s="4">
        <f t="shared" si="58"/>
        <v>90000</v>
      </c>
      <c r="AP55" s="4">
        <f t="shared" si="59"/>
        <v>0</v>
      </c>
      <c r="AQ55" s="4">
        <v>10680</v>
      </c>
      <c r="AR55" s="4">
        <f>AQ55</f>
        <v>10680</v>
      </c>
      <c r="AS55" s="4">
        <v>10680</v>
      </c>
      <c r="AT55" s="4">
        <v>10762.5</v>
      </c>
      <c r="AU55" s="4">
        <v>10729.5</v>
      </c>
      <c r="AV55" s="4">
        <v>10730</v>
      </c>
      <c r="AW55" s="4">
        <v>10730</v>
      </c>
      <c r="AX55" s="4">
        <v>10730</v>
      </c>
      <c r="AY55" s="4">
        <f>AX55</f>
        <v>10730</v>
      </c>
      <c r="AZ55" s="4">
        <v>10730</v>
      </c>
      <c r="BA55" s="4">
        <v>10730</v>
      </c>
      <c r="BB55" s="18">
        <v>10730</v>
      </c>
      <c r="BC55" s="4">
        <f t="shared" si="63"/>
        <v>128642</v>
      </c>
      <c r="BD55" s="4"/>
      <c r="BE55" s="4">
        <f t="shared" si="64"/>
        <v>128642</v>
      </c>
      <c r="BF55" s="11"/>
      <c r="BH55" s="11">
        <f t="shared" si="65"/>
        <v>1450711.15</v>
      </c>
    </row>
    <row r="56" spans="1:60" x14ac:dyDescent="0.2">
      <c r="A56" s="23">
        <v>2</v>
      </c>
      <c r="B56" s="23">
        <v>2</v>
      </c>
      <c r="C56" s="24" t="s">
        <v>22</v>
      </c>
      <c r="D56" s="14">
        <v>1370369.5699999998</v>
      </c>
      <c r="E56" s="4">
        <v>0</v>
      </c>
      <c r="F56" s="4">
        <f t="shared" si="52"/>
        <v>128642</v>
      </c>
      <c r="G56" s="4">
        <v>1497672.47</v>
      </c>
      <c r="H56" s="14"/>
      <c r="I56" s="4">
        <f t="shared" si="53"/>
        <v>2996684.04</v>
      </c>
      <c r="J56" s="4">
        <f t="shared" si="54"/>
        <v>0</v>
      </c>
      <c r="K56" s="15">
        <f t="shared" si="55"/>
        <v>2996684.04</v>
      </c>
      <c r="L56" s="4">
        <v>0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4">
        <f t="shared" si="76"/>
        <v>0</v>
      </c>
      <c r="Z56" s="4">
        <f t="shared" si="56"/>
        <v>0</v>
      </c>
      <c r="AA56" s="16"/>
      <c r="AB56" s="16"/>
      <c r="AC56" s="16"/>
      <c r="AD56" s="16"/>
      <c r="AE56" s="16"/>
      <c r="AF56" s="22"/>
      <c r="AG56" s="16"/>
      <c r="AH56" s="16"/>
      <c r="AI56" s="16"/>
      <c r="AJ56" s="16"/>
      <c r="AK56" s="16"/>
      <c r="AL56" s="16"/>
      <c r="AM56" s="4">
        <f t="shared" si="57"/>
        <v>0</v>
      </c>
      <c r="AN56" s="4"/>
      <c r="AO56" s="4">
        <f t="shared" si="58"/>
        <v>0</v>
      </c>
      <c r="AP56" s="4">
        <f t="shared" si="59"/>
        <v>0</v>
      </c>
      <c r="AQ56" s="4">
        <v>10680</v>
      </c>
      <c r="AR56" s="4">
        <f t="shared" ref="AR56:AR62" si="77">AQ56</f>
        <v>10680</v>
      </c>
      <c r="AS56" s="4">
        <v>10680</v>
      </c>
      <c r="AT56" s="4">
        <v>10762.5</v>
      </c>
      <c r="AU56" s="4">
        <v>10729.5</v>
      </c>
      <c r="AV56" s="4">
        <v>10730</v>
      </c>
      <c r="AW56" s="4">
        <v>10730</v>
      </c>
      <c r="AX56" s="4">
        <v>10730</v>
      </c>
      <c r="AY56" s="4">
        <f>AX56</f>
        <v>10730</v>
      </c>
      <c r="AZ56" s="4">
        <v>10730</v>
      </c>
      <c r="BA56" s="4">
        <v>10730</v>
      </c>
      <c r="BB56" s="18">
        <v>10730</v>
      </c>
      <c r="BC56" s="4">
        <f t="shared" si="63"/>
        <v>128642</v>
      </c>
      <c r="BD56" s="4"/>
      <c r="BE56" s="4">
        <f t="shared" si="64"/>
        <v>128642</v>
      </c>
      <c r="BF56" s="11"/>
      <c r="BH56" s="11">
        <f t="shared" si="65"/>
        <v>1499011.5699999998</v>
      </c>
    </row>
    <row r="57" spans="1:60" x14ac:dyDescent="0.2">
      <c r="A57" s="23">
        <v>3</v>
      </c>
      <c r="B57" s="23">
        <v>3</v>
      </c>
      <c r="C57" s="3" t="s">
        <v>23</v>
      </c>
      <c r="D57" s="14">
        <v>1336586.07</v>
      </c>
      <c r="E57" s="4">
        <v>0</v>
      </c>
      <c r="F57" s="4">
        <f t="shared" si="52"/>
        <v>0</v>
      </c>
      <c r="G57" s="4">
        <v>956905.63</v>
      </c>
      <c r="H57" s="17"/>
      <c r="I57" s="4">
        <f t="shared" si="53"/>
        <v>2293491.7000000002</v>
      </c>
      <c r="J57" s="4">
        <f t="shared" si="54"/>
        <v>200000</v>
      </c>
      <c r="K57" s="15">
        <f t="shared" si="55"/>
        <v>2093491.7000000002</v>
      </c>
      <c r="L57" s="4">
        <v>200000</v>
      </c>
      <c r="M57" s="18"/>
      <c r="N57" s="18"/>
      <c r="O57" s="18"/>
      <c r="P57" s="18"/>
      <c r="Q57" s="18"/>
      <c r="R57" s="18"/>
      <c r="S57" s="18"/>
      <c r="U57" s="18"/>
      <c r="V57" s="18"/>
      <c r="W57" s="18"/>
      <c r="X57" s="18"/>
      <c r="Y57" s="4">
        <f t="shared" si="76"/>
        <v>0</v>
      </c>
      <c r="Z57" s="4">
        <f t="shared" si="56"/>
        <v>200000</v>
      </c>
      <c r="AA57" s="16"/>
      <c r="AB57" s="16"/>
      <c r="AC57" s="16"/>
      <c r="AD57" s="16"/>
      <c r="AE57" s="16"/>
      <c r="AF57" s="22"/>
      <c r="AG57" s="16"/>
      <c r="AH57" s="16"/>
      <c r="AI57" s="16"/>
      <c r="AJ57" s="16"/>
      <c r="AK57" s="16"/>
      <c r="AL57" s="16"/>
      <c r="AM57" s="4">
        <f t="shared" si="57"/>
        <v>0</v>
      </c>
      <c r="AN57" s="4"/>
      <c r="AO57" s="4">
        <f t="shared" si="58"/>
        <v>0</v>
      </c>
      <c r="AP57" s="4">
        <f t="shared" si="59"/>
        <v>200000</v>
      </c>
      <c r="AQ57" s="4"/>
      <c r="AR57" s="4">
        <f t="shared" si="77"/>
        <v>0</v>
      </c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>
        <f t="shared" si="63"/>
        <v>0</v>
      </c>
      <c r="BD57" s="4"/>
      <c r="BE57" s="4">
        <f t="shared" si="64"/>
        <v>0</v>
      </c>
      <c r="BF57" s="11"/>
      <c r="BH57" s="11">
        <f t="shared" si="65"/>
        <v>1336586.07</v>
      </c>
    </row>
    <row r="58" spans="1:60" x14ac:dyDescent="0.2">
      <c r="A58" s="23">
        <v>7</v>
      </c>
      <c r="B58" s="23">
        <v>7</v>
      </c>
      <c r="C58" s="3" t="s">
        <v>24</v>
      </c>
      <c r="D58" s="14">
        <v>549035.57999999996</v>
      </c>
      <c r="E58" s="4">
        <v>0</v>
      </c>
      <c r="F58" s="4">
        <f t="shared" si="52"/>
        <v>69444</v>
      </c>
      <c r="G58" s="4">
        <v>385718.55</v>
      </c>
      <c r="H58" s="14"/>
      <c r="I58" s="4">
        <f t="shared" si="53"/>
        <v>1004198.1299999999</v>
      </c>
      <c r="J58" s="4">
        <f t="shared" si="54"/>
        <v>0</v>
      </c>
      <c r="K58" s="15">
        <f t="shared" si="55"/>
        <v>1004198.1299999999</v>
      </c>
      <c r="L58" s="4">
        <v>0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4">
        <f t="shared" si="76"/>
        <v>0</v>
      </c>
      <c r="Z58" s="4">
        <f t="shared" si="56"/>
        <v>0</v>
      </c>
      <c r="AA58" s="16"/>
      <c r="AB58" s="16"/>
      <c r="AC58" s="16"/>
      <c r="AD58" s="16"/>
      <c r="AE58" s="16"/>
      <c r="AF58" s="22"/>
      <c r="AG58" s="16"/>
      <c r="AH58" s="16"/>
      <c r="AI58" s="16"/>
      <c r="AJ58" s="16"/>
      <c r="AK58" s="16"/>
      <c r="AL58" s="16"/>
      <c r="AM58" s="4">
        <f t="shared" si="57"/>
        <v>0</v>
      </c>
      <c r="AN58" s="4"/>
      <c r="AO58" s="4">
        <f t="shared" si="58"/>
        <v>0</v>
      </c>
      <c r="AP58" s="4">
        <f t="shared" si="59"/>
        <v>0</v>
      </c>
      <c r="AQ58" s="4">
        <v>5787</v>
      </c>
      <c r="AR58" s="4">
        <f t="shared" si="77"/>
        <v>5787</v>
      </c>
      <c r="AS58" s="4">
        <v>5787</v>
      </c>
      <c r="AT58" s="4">
        <v>5787</v>
      </c>
      <c r="AU58" s="4">
        <v>5787</v>
      </c>
      <c r="AV58" s="4">
        <v>5787</v>
      </c>
      <c r="AW58" s="4">
        <v>5787</v>
      </c>
      <c r="AX58" s="4">
        <v>5787</v>
      </c>
      <c r="AY58" s="4">
        <f>AX58</f>
        <v>5787</v>
      </c>
      <c r="AZ58" s="4">
        <v>5787</v>
      </c>
      <c r="BA58" s="4">
        <v>5787</v>
      </c>
      <c r="BB58" s="18">
        <v>5787</v>
      </c>
      <c r="BC58" s="4">
        <f t="shared" si="63"/>
        <v>69444</v>
      </c>
      <c r="BD58" s="4"/>
      <c r="BE58" s="4">
        <f t="shared" si="64"/>
        <v>69444</v>
      </c>
      <c r="BF58" s="11"/>
      <c r="BH58" s="11">
        <f t="shared" si="65"/>
        <v>618479.57999999996</v>
      </c>
    </row>
    <row r="59" spans="1:60" x14ac:dyDescent="0.2">
      <c r="A59" s="23">
        <v>8</v>
      </c>
      <c r="B59" s="23">
        <v>8</v>
      </c>
      <c r="C59" s="3" t="s">
        <v>25</v>
      </c>
      <c r="D59" s="14">
        <v>634574.13</v>
      </c>
      <c r="E59" s="4">
        <v>0</v>
      </c>
      <c r="F59" s="4">
        <f t="shared" si="52"/>
        <v>76752</v>
      </c>
      <c r="G59" s="4">
        <v>472229.22</v>
      </c>
      <c r="H59" s="14"/>
      <c r="I59" s="4">
        <f t="shared" si="53"/>
        <v>1183555.3500000001</v>
      </c>
      <c r="J59" s="4">
        <f t="shared" si="54"/>
        <v>544000</v>
      </c>
      <c r="K59" s="15">
        <f t="shared" si="55"/>
        <v>639555.35000000009</v>
      </c>
      <c r="L59" s="4">
        <v>736000</v>
      </c>
      <c r="M59" s="18"/>
      <c r="N59" s="18"/>
      <c r="O59" s="18"/>
      <c r="P59" s="18"/>
      <c r="Q59" s="18"/>
      <c r="R59" s="18"/>
      <c r="S59" s="18"/>
      <c r="T59" s="15"/>
      <c r="U59" s="18"/>
      <c r="V59" s="18"/>
      <c r="W59" s="18"/>
      <c r="X59" s="18"/>
      <c r="Y59" s="4">
        <f t="shared" si="76"/>
        <v>0</v>
      </c>
      <c r="Z59" s="4">
        <f t="shared" si="56"/>
        <v>736000</v>
      </c>
      <c r="AA59" s="16">
        <v>16000</v>
      </c>
      <c r="AB59" s="16">
        <v>16000</v>
      </c>
      <c r="AC59" s="16">
        <v>16000</v>
      </c>
      <c r="AD59" s="16">
        <v>16000</v>
      </c>
      <c r="AE59" s="16">
        <v>16000</v>
      </c>
      <c r="AF59" s="22">
        <v>16000</v>
      </c>
      <c r="AG59" s="16">
        <v>16000</v>
      </c>
      <c r="AH59" s="16">
        <v>16000</v>
      </c>
      <c r="AI59" s="16">
        <v>16000</v>
      </c>
      <c r="AJ59" s="16">
        <v>16000</v>
      </c>
      <c r="AK59" s="16">
        <v>16000</v>
      </c>
      <c r="AL59" s="16">
        <v>16000</v>
      </c>
      <c r="AM59" s="4">
        <f t="shared" si="57"/>
        <v>192000</v>
      </c>
      <c r="AN59" s="4"/>
      <c r="AO59" s="4">
        <f t="shared" si="58"/>
        <v>192000</v>
      </c>
      <c r="AP59" s="4">
        <f t="shared" si="59"/>
        <v>544000</v>
      </c>
      <c r="AQ59" s="4">
        <v>6396</v>
      </c>
      <c r="AR59" s="4">
        <f t="shared" si="77"/>
        <v>6396</v>
      </c>
      <c r="AS59" s="4">
        <v>6396</v>
      </c>
      <c r="AT59" s="4">
        <v>6396</v>
      </c>
      <c r="AU59" s="4">
        <v>6396</v>
      </c>
      <c r="AV59" s="4">
        <v>6396</v>
      </c>
      <c r="AW59" s="4">
        <v>6396</v>
      </c>
      <c r="AX59" s="4">
        <v>6396</v>
      </c>
      <c r="AY59" s="4">
        <f>AX59</f>
        <v>6396</v>
      </c>
      <c r="AZ59" s="4">
        <v>6396</v>
      </c>
      <c r="BA59" s="4">
        <v>6396</v>
      </c>
      <c r="BB59" s="18">
        <v>6396</v>
      </c>
      <c r="BC59" s="4">
        <f t="shared" si="63"/>
        <v>76752</v>
      </c>
      <c r="BD59" s="4"/>
      <c r="BE59" s="4">
        <f t="shared" si="64"/>
        <v>76752</v>
      </c>
      <c r="BF59" s="11"/>
      <c r="BH59" s="11">
        <f t="shared" si="65"/>
        <v>711326.13</v>
      </c>
    </row>
    <row r="60" spans="1:60" x14ac:dyDescent="0.2">
      <c r="A60" s="23">
        <v>10</v>
      </c>
      <c r="B60" s="23">
        <v>10</v>
      </c>
      <c r="C60" s="3" t="s">
        <v>64</v>
      </c>
      <c r="D60" s="14">
        <v>608785.5</v>
      </c>
      <c r="E60" s="4">
        <v>0</v>
      </c>
      <c r="F60" s="4">
        <f t="shared" si="52"/>
        <v>26523</v>
      </c>
      <c r="G60" s="4">
        <v>490390.97</v>
      </c>
      <c r="H60" s="14"/>
      <c r="I60" s="4">
        <f t="shared" si="53"/>
        <v>1125699.47</v>
      </c>
      <c r="J60" s="4">
        <f t="shared" si="54"/>
        <v>921890</v>
      </c>
      <c r="K60" s="15">
        <f t="shared" si="55"/>
        <v>203809.46999999997</v>
      </c>
      <c r="L60" s="4">
        <v>656000</v>
      </c>
      <c r="M60" s="18"/>
      <c r="N60" s="18">
        <v>323000</v>
      </c>
      <c r="O60" s="18"/>
      <c r="P60" s="18"/>
      <c r="Q60" s="18"/>
      <c r="R60" s="18"/>
      <c r="S60" s="18">
        <v>175000</v>
      </c>
      <c r="T60" s="18"/>
      <c r="U60" s="18"/>
      <c r="V60" s="18"/>
      <c r="W60" s="18"/>
      <c r="X60" s="18"/>
      <c r="Y60" s="4">
        <f t="shared" si="76"/>
        <v>498000</v>
      </c>
      <c r="Z60" s="4">
        <f t="shared" si="56"/>
        <v>1154000</v>
      </c>
      <c r="AA60" s="16">
        <v>16000</v>
      </c>
      <c r="AB60" s="16">
        <v>16000</v>
      </c>
      <c r="AC60" s="16">
        <v>19000</v>
      </c>
      <c r="AD60" s="16">
        <v>19000</v>
      </c>
      <c r="AE60" s="16">
        <v>19000</v>
      </c>
      <c r="AF60" s="22">
        <v>19000</v>
      </c>
      <c r="AG60" s="16">
        <v>18935</v>
      </c>
      <c r="AH60" s="16">
        <v>18935</v>
      </c>
      <c r="AI60" s="16">
        <v>18935</v>
      </c>
      <c r="AJ60" s="16">
        <v>22435</v>
      </c>
      <c r="AK60" s="16">
        <v>22435</v>
      </c>
      <c r="AL60" s="16">
        <v>22435</v>
      </c>
      <c r="AM60" s="4">
        <f t="shared" si="57"/>
        <v>232110</v>
      </c>
      <c r="AN60" s="4"/>
      <c r="AO60" s="4">
        <f t="shared" si="58"/>
        <v>232110</v>
      </c>
      <c r="AP60" s="4">
        <f t="shared" si="59"/>
        <v>921890</v>
      </c>
      <c r="AQ60" s="4">
        <v>2077.5</v>
      </c>
      <c r="AR60" s="4">
        <f t="shared" si="77"/>
        <v>2077.5</v>
      </c>
      <c r="AS60" s="4">
        <v>2077.5</v>
      </c>
      <c r="AT60" s="4">
        <f>AS60</f>
        <v>2077.5</v>
      </c>
      <c r="AU60" s="4">
        <v>2077.5</v>
      </c>
      <c r="AV60" s="4">
        <v>2077.5</v>
      </c>
      <c r="AW60" s="4">
        <v>2078</v>
      </c>
      <c r="AX60" s="4">
        <v>2078</v>
      </c>
      <c r="AY60" s="4">
        <f>AX60</f>
        <v>2078</v>
      </c>
      <c r="AZ60" s="4">
        <v>2608</v>
      </c>
      <c r="BA60" s="4">
        <v>2608</v>
      </c>
      <c r="BB60" s="18">
        <v>2608</v>
      </c>
      <c r="BC60" s="4">
        <f t="shared" si="63"/>
        <v>26523</v>
      </c>
      <c r="BD60" s="4"/>
      <c r="BE60" s="4">
        <f t="shared" si="64"/>
        <v>26523</v>
      </c>
      <c r="BF60" s="11"/>
      <c r="BH60" s="11">
        <f t="shared" si="65"/>
        <v>635308.5</v>
      </c>
    </row>
    <row r="61" spans="1:60" x14ac:dyDescent="0.2">
      <c r="A61" s="23">
        <v>107</v>
      </c>
      <c r="B61" s="23">
        <v>107</v>
      </c>
      <c r="C61" s="3" t="s">
        <v>26</v>
      </c>
      <c r="D61" s="14">
        <v>246493.61</v>
      </c>
      <c r="E61" s="4">
        <v>0</v>
      </c>
      <c r="F61" s="4">
        <f t="shared" si="52"/>
        <v>29844</v>
      </c>
      <c r="G61" s="4">
        <v>75887.91</v>
      </c>
      <c r="H61" s="3"/>
      <c r="I61" s="4">
        <f t="shared" si="53"/>
        <v>352225.52</v>
      </c>
      <c r="J61" s="4">
        <f t="shared" si="54"/>
        <v>165460</v>
      </c>
      <c r="K61" s="15">
        <f t="shared" si="55"/>
        <v>186765.52000000002</v>
      </c>
      <c r="L61" s="4">
        <v>136004</v>
      </c>
      <c r="M61" s="18"/>
      <c r="N61" s="19"/>
      <c r="O61" s="19"/>
      <c r="P61" s="15"/>
      <c r="Q61" s="15"/>
      <c r="R61" s="15">
        <v>30000</v>
      </c>
      <c r="S61" s="15"/>
      <c r="T61" s="3"/>
      <c r="U61" s="15"/>
      <c r="V61" s="15"/>
      <c r="W61" s="15"/>
      <c r="X61" s="18">
        <v>40000</v>
      </c>
      <c r="Y61" s="4">
        <f>SUM(M61:X61)</f>
        <v>70000</v>
      </c>
      <c r="Z61" s="4">
        <f t="shared" si="56"/>
        <v>206004</v>
      </c>
      <c r="AA61" s="4">
        <v>3160</v>
      </c>
      <c r="AB61" s="4">
        <v>3160</v>
      </c>
      <c r="AC61" s="4">
        <v>3160</v>
      </c>
      <c r="AD61" s="4">
        <v>3160</v>
      </c>
      <c r="AE61" s="4">
        <v>3160</v>
      </c>
      <c r="AF61" s="15">
        <v>3160</v>
      </c>
      <c r="AG61" s="4">
        <v>3164</v>
      </c>
      <c r="AH61" s="4">
        <v>3164</v>
      </c>
      <c r="AI61" s="4">
        <v>3164</v>
      </c>
      <c r="AJ61" s="4">
        <v>3764</v>
      </c>
      <c r="AK61" s="4">
        <v>3764</v>
      </c>
      <c r="AL61" s="4">
        <v>4564</v>
      </c>
      <c r="AM61" s="4">
        <f t="shared" si="57"/>
        <v>40544</v>
      </c>
      <c r="AN61" s="4"/>
      <c r="AO61" s="4">
        <f t="shared" si="58"/>
        <v>40544</v>
      </c>
      <c r="AP61" s="4">
        <f t="shared" si="59"/>
        <v>165460</v>
      </c>
      <c r="AQ61" s="4">
        <v>2487</v>
      </c>
      <c r="AR61" s="4">
        <f t="shared" si="77"/>
        <v>2487</v>
      </c>
      <c r="AS61" s="4">
        <f t="shared" ref="AS61:AS62" si="78">AR61</f>
        <v>2487</v>
      </c>
      <c r="AT61" s="4">
        <f t="shared" ref="AT61:AT62" si="79">AS61</f>
        <v>2487</v>
      </c>
      <c r="AU61" s="4">
        <v>2487</v>
      </c>
      <c r="AV61" s="4">
        <v>2487</v>
      </c>
      <c r="AW61" s="4">
        <v>2487</v>
      </c>
      <c r="AX61" s="4">
        <v>2487</v>
      </c>
      <c r="AY61" s="4">
        <f t="shared" ref="AY61:AY62" si="80">AX61</f>
        <v>2487</v>
      </c>
      <c r="AZ61" s="4">
        <v>2487</v>
      </c>
      <c r="BA61" s="4">
        <v>2487</v>
      </c>
      <c r="BB61" s="18">
        <v>2487</v>
      </c>
      <c r="BC61" s="4">
        <f t="shared" si="63"/>
        <v>29844</v>
      </c>
      <c r="BD61" s="4"/>
      <c r="BE61" s="4">
        <f t="shared" si="64"/>
        <v>29844</v>
      </c>
      <c r="BF61" s="11"/>
      <c r="BH61" s="11">
        <f t="shared" si="65"/>
        <v>276337.61</v>
      </c>
    </row>
    <row r="62" spans="1:60" x14ac:dyDescent="0.2">
      <c r="A62" s="23">
        <v>108</v>
      </c>
      <c r="B62" s="23">
        <v>108</v>
      </c>
      <c r="C62" s="3" t="s">
        <v>27</v>
      </c>
      <c r="D62" s="14">
        <v>30684</v>
      </c>
      <c r="E62" s="4">
        <v>0</v>
      </c>
      <c r="F62" s="4">
        <f t="shared" si="52"/>
        <v>16512</v>
      </c>
      <c r="G62" s="4">
        <v>10541.79</v>
      </c>
      <c r="H62" s="3"/>
      <c r="I62" s="4">
        <f t="shared" si="53"/>
        <v>57737.79</v>
      </c>
      <c r="J62" s="4">
        <f t="shared" si="54"/>
        <v>0</v>
      </c>
      <c r="K62" s="15">
        <f t="shared" si="55"/>
        <v>57737.79</v>
      </c>
      <c r="L62" s="3">
        <v>0</v>
      </c>
      <c r="M62" s="18"/>
      <c r="N62" s="19"/>
      <c r="O62" s="19"/>
      <c r="P62" s="15"/>
      <c r="Q62" s="15"/>
      <c r="R62" s="15"/>
      <c r="S62" s="15"/>
      <c r="T62" s="3"/>
      <c r="U62" s="15"/>
      <c r="V62" s="15"/>
      <c r="W62" s="15"/>
      <c r="X62" s="18"/>
      <c r="Y62" s="4">
        <f>SUM(M62:X62)</f>
        <v>0</v>
      </c>
      <c r="Z62" s="4">
        <f t="shared" si="56"/>
        <v>0</v>
      </c>
      <c r="AA62" s="4"/>
      <c r="AB62" s="4"/>
      <c r="AC62" s="4"/>
      <c r="AD62" s="4"/>
      <c r="AE62" s="4"/>
      <c r="AF62" s="15"/>
      <c r="AG62" s="4"/>
      <c r="AH62" s="4"/>
      <c r="AI62" s="4"/>
      <c r="AJ62" s="4"/>
      <c r="AK62" s="4"/>
      <c r="AL62" s="4"/>
      <c r="AM62" s="4">
        <f t="shared" si="57"/>
        <v>0</v>
      </c>
      <c r="AN62" s="4"/>
      <c r="AO62" s="4">
        <f t="shared" si="58"/>
        <v>0</v>
      </c>
      <c r="AP62" s="4">
        <f t="shared" si="59"/>
        <v>0</v>
      </c>
      <c r="AQ62" s="4">
        <v>1376</v>
      </c>
      <c r="AR62" s="4">
        <f t="shared" si="77"/>
        <v>1376</v>
      </c>
      <c r="AS62" s="4">
        <f t="shared" si="78"/>
        <v>1376</v>
      </c>
      <c r="AT62" s="4">
        <f t="shared" si="79"/>
        <v>1376</v>
      </c>
      <c r="AU62" s="4">
        <v>1376</v>
      </c>
      <c r="AV62" s="4">
        <v>1376</v>
      </c>
      <c r="AW62" s="4">
        <v>1376</v>
      </c>
      <c r="AX62" s="4">
        <v>1376</v>
      </c>
      <c r="AY62" s="4">
        <f t="shared" si="80"/>
        <v>1376</v>
      </c>
      <c r="AZ62" s="4">
        <v>1376</v>
      </c>
      <c r="BA62" s="4">
        <v>1376</v>
      </c>
      <c r="BB62" s="18">
        <v>1376</v>
      </c>
      <c r="BC62" s="4">
        <f t="shared" si="63"/>
        <v>16512</v>
      </c>
      <c r="BD62" s="4"/>
      <c r="BE62" s="4">
        <f t="shared" si="64"/>
        <v>16512</v>
      </c>
      <c r="BF62" s="11"/>
      <c r="BH62" s="11">
        <f t="shared" si="65"/>
        <v>47196</v>
      </c>
    </row>
    <row r="63" spans="1:60" x14ac:dyDescent="0.2">
      <c r="A63" s="23">
        <v>1</v>
      </c>
      <c r="B63" s="23">
        <v>1</v>
      </c>
      <c r="C63" s="3" t="s">
        <v>21</v>
      </c>
      <c r="D63" s="14">
        <v>1322069.1499999999</v>
      </c>
      <c r="E63" s="4">
        <v>0</v>
      </c>
      <c r="F63" s="4">
        <f t="shared" si="52"/>
        <v>128642</v>
      </c>
      <c r="G63" s="4">
        <v>1291167.3999999999</v>
      </c>
      <c r="H63" s="14"/>
      <c r="I63" s="4">
        <f t="shared" si="53"/>
        <v>2741878.55</v>
      </c>
      <c r="J63" s="4">
        <f t="shared" si="54"/>
        <v>0</v>
      </c>
      <c r="K63" s="15">
        <f t="shared" si="55"/>
        <v>2741878.55</v>
      </c>
      <c r="L63" s="4">
        <v>90000</v>
      </c>
      <c r="M63" s="18">
        <v>0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4">
        <f t="shared" ref="Y63:Y68" si="81">SUM(M63:X63)</f>
        <v>0</v>
      </c>
      <c r="Z63" s="4">
        <f t="shared" si="56"/>
        <v>90000</v>
      </c>
      <c r="AA63" s="16">
        <v>10000</v>
      </c>
      <c r="AB63" s="16">
        <v>10000</v>
      </c>
      <c r="AC63" s="16">
        <v>10000</v>
      </c>
      <c r="AD63" s="16">
        <v>10000</v>
      </c>
      <c r="AE63" s="16">
        <v>10000</v>
      </c>
      <c r="AF63" s="22">
        <v>10000</v>
      </c>
      <c r="AG63" s="16">
        <v>10000</v>
      </c>
      <c r="AH63" s="16">
        <v>10000</v>
      </c>
      <c r="AI63" s="16">
        <v>10000</v>
      </c>
      <c r="AJ63" s="16"/>
      <c r="AK63" s="16"/>
      <c r="AL63" s="16"/>
      <c r="AM63" s="4">
        <f t="shared" si="57"/>
        <v>90000</v>
      </c>
      <c r="AN63" s="4"/>
      <c r="AO63" s="4">
        <f t="shared" si="58"/>
        <v>90000</v>
      </c>
      <c r="AP63" s="4">
        <f t="shared" si="59"/>
        <v>0</v>
      </c>
      <c r="AQ63" s="4">
        <v>10680</v>
      </c>
      <c r="AR63" s="4">
        <f>AQ63</f>
        <v>10680</v>
      </c>
      <c r="AS63" s="4">
        <v>10680</v>
      </c>
      <c r="AT63" s="4">
        <v>10762.5</v>
      </c>
      <c r="AU63" s="4">
        <v>10729.5</v>
      </c>
      <c r="AV63" s="4">
        <v>10730</v>
      </c>
      <c r="AW63" s="4">
        <v>10730</v>
      </c>
      <c r="AX63" s="4">
        <v>10730</v>
      </c>
      <c r="AY63" s="4">
        <f>AX63</f>
        <v>10730</v>
      </c>
      <c r="AZ63" s="4">
        <v>10730</v>
      </c>
      <c r="BA63" s="4">
        <v>10730</v>
      </c>
      <c r="BB63" s="18">
        <v>10730</v>
      </c>
      <c r="BC63" s="4">
        <f t="shared" si="63"/>
        <v>128642</v>
      </c>
      <c r="BD63" s="4"/>
      <c r="BE63" s="4">
        <f t="shared" si="64"/>
        <v>128642</v>
      </c>
      <c r="BF63" s="11"/>
      <c r="BH63" s="11">
        <f t="shared" si="65"/>
        <v>1450711.15</v>
      </c>
    </row>
    <row r="64" spans="1:60" x14ac:dyDescent="0.2">
      <c r="A64" s="23">
        <v>2</v>
      </c>
      <c r="B64" s="23">
        <v>2</v>
      </c>
      <c r="C64" s="24" t="s">
        <v>22</v>
      </c>
      <c r="D64" s="14">
        <v>1370369.5699999998</v>
      </c>
      <c r="E64" s="4">
        <v>0</v>
      </c>
      <c r="F64" s="4">
        <f t="shared" si="52"/>
        <v>128642</v>
      </c>
      <c r="G64" s="4">
        <v>1497672.47</v>
      </c>
      <c r="H64" s="14"/>
      <c r="I64" s="4">
        <f t="shared" si="53"/>
        <v>2996684.04</v>
      </c>
      <c r="J64" s="4">
        <f t="shared" si="54"/>
        <v>0</v>
      </c>
      <c r="K64" s="15">
        <f t="shared" si="55"/>
        <v>2996684.04</v>
      </c>
      <c r="L64" s="4">
        <v>0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4">
        <f t="shared" si="81"/>
        <v>0</v>
      </c>
      <c r="Z64" s="4">
        <f t="shared" si="56"/>
        <v>0</v>
      </c>
      <c r="AA64" s="16"/>
      <c r="AB64" s="16"/>
      <c r="AC64" s="16"/>
      <c r="AD64" s="16"/>
      <c r="AE64" s="16"/>
      <c r="AF64" s="22"/>
      <c r="AG64" s="16"/>
      <c r="AH64" s="16"/>
      <c r="AI64" s="16"/>
      <c r="AJ64" s="16"/>
      <c r="AK64" s="16"/>
      <c r="AL64" s="16"/>
      <c r="AM64" s="4">
        <f t="shared" si="57"/>
        <v>0</v>
      </c>
      <c r="AN64" s="4"/>
      <c r="AO64" s="4">
        <f t="shared" si="58"/>
        <v>0</v>
      </c>
      <c r="AP64" s="4">
        <f t="shared" si="59"/>
        <v>0</v>
      </c>
      <c r="AQ64" s="4">
        <v>10680</v>
      </c>
      <c r="AR64" s="4">
        <f t="shared" ref="AR64:AR70" si="82">AQ64</f>
        <v>10680</v>
      </c>
      <c r="AS64" s="4">
        <v>10680</v>
      </c>
      <c r="AT64" s="4">
        <v>10762.5</v>
      </c>
      <c r="AU64" s="4">
        <v>10729.5</v>
      </c>
      <c r="AV64" s="4">
        <v>10730</v>
      </c>
      <c r="AW64" s="4">
        <v>10730</v>
      </c>
      <c r="AX64" s="4">
        <v>10730</v>
      </c>
      <c r="AY64" s="4">
        <f>AX64</f>
        <v>10730</v>
      </c>
      <c r="AZ64" s="4">
        <v>10730</v>
      </c>
      <c r="BA64" s="4">
        <v>10730</v>
      </c>
      <c r="BB64" s="18">
        <v>10730</v>
      </c>
      <c r="BC64" s="4">
        <f t="shared" si="63"/>
        <v>128642</v>
      </c>
      <c r="BD64" s="4"/>
      <c r="BE64" s="4">
        <f t="shared" si="64"/>
        <v>128642</v>
      </c>
      <c r="BF64" s="11"/>
      <c r="BH64" s="11">
        <f t="shared" si="65"/>
        <v>1499011.5699999998</v>
      </c>
    </row>
    <row r="65" spans="1:60" x14ac:dyDescent="0.2">
      <c r="A65" s="23">
        <v>3</v>
      </c>
      <c r="B65" s="23">
        <v>3</v>
      </c>
      <c r="C65" s="3" t="s">
        <v>23</v>
      </c>
      <c r="D65" s="14">
        <v>1336586.07</v>
      </c>
      <c r="E65" s="4">
        <v>0</v>
      </c>
      <c r="F65" s="4">
        <f t="shared" si="52"/>
        <v>0</v>
      </c>
      <c r="G65" s="4">
        <v>956905.63</v>
      </c>
      <c r="H65" s="17"/>
      <c r="I65" s="4">
        <f t="shared" si="53"/>
        <v>2293491.7000000002</v>
      </c>
      <c r="J65" s="4">
        <f t="shared" si="54"/>
        <v>200000</v>
      </c>
      <c r="K65" s="15">
        <f t="shared" si="55"/>
        <v>2093491.7000000002</v>
      </c>
      <c r="L65" s="4">
        <v>200000</v>
      </c>
      <c r="M65" s="18"/>
      <c r="N65" s="18"/>
      <c r="O65" s="18"/>
      <c r="P65" s="18"/>
      <c r="Q65" s="18"/>
      <c r="R65" s="18"/>
      <c r="S65" s="18"/>
      <c r="U65" s="18"/>
      <c r="V65" s="18"/>
      <c r="W65" s="18"/>
      <c r="X65" s="18"/>
      <c r="Y65" s="4">
        <f t="shared" si="81"/>
        <v>0</v>
      </c>
      <c r="Z65" s="4">
        <f t="shared" si="56"/>
        <v>200000</v>
      </c>
      <c r="AA65" s="16"/>
      <c r="AB65" s="16"/>
      <c r="AC65" s="16"/>
      <c r="AD65" s="16"/>
      <c r="AE65" s="16"/>
      <c r="AF65" s="22"/>
      <c r="AG65" s="16"/>
      <c r="AH65" s="16"/>
      <c r="AI65" s="16"/>
      <c r="AJ65" s="16"/>
      <c r="AK65" s="16"/>
      <c r="AL65" s="16"/>
      <c r="AM65" s="4">
        <f t="shared" si="57"/>
        <v>0</v>
      </c>
      <c r="AN65" s="4"/>
      <c r="AO65" s="4">
        <f t="shared" si="58"/>
        <v>0</v>
      </c>
      <c r="AP65" s="4">
        <f t="shared" si="59"/>
        <v>200000</v>
      </c>
      <c r="AQ65" s="4"/>
      <c r="AR65" s="4">
        <f t="shared" si="82"/>
        <v>0</v>
      </c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>
        <f t="shared" si="63"/>
        <v>0</v>
      </c>
      <c r="BD65" s="4"/>
      <c r="BE65" s="4">
        <f t="shared" si="64"/>
        <v>0</v>
      </c>
      <c r="BF65" s="11"/>
      <c r="BH65" s="11">
        <f t="shared" si="65"/>
        <v>1336586.07</v>
      </c>
    </row>
    <row r="66" spans="1:60" x14ac:dyDescent="0.2">
      <c r="A66" s="23">
        <v>7</v>
      </c>
      <c r="B66" s="23">
        <v>7</v>
      </c>
      <c r="C66" s="3" t="s">
        <v>24</v>
      </c>
      <c r="D66" s="14">
        <v>549035.57999999996</v>
      </c>
      <c r="E66" s="4">
        <v>0</v>
      </c>
      <c r="F66" s="4">
        <f t="shared" si="52"/>
        <v>69444</v>
      </c>
      <c r="G66" s="4">
        <v>385718.55</v>
      </c>
      <c r="H66" s="14"/>
      <c r="I66" s="4">
        <f t="shared" si="53"/>
        <v>1004198.1299999999</v>
      </c>
      <c r="J66" s="4">
        <f t="shared" si="54"/>
        <v>0</v>
      </c>
      <c r="K66" s="15">
        <f t="shared" si="55"/>
        <v>1004198.1299999999</v>
      </c>
      <c r="L66" s="4">
        <v>0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4">
        <f t="shared" si="81"/>
        <v>0</v>
      </c>
      <c r="Z66" s="4">
        <f t="shared" si="56"/>
        <v>0</v>
      </c>
      <c r="AA66" s="16"/>
      <c r="AB66" s="16"/>
      <c r="AC66" s="16"/>
      <c r="AD66" s="16"/>
      <c r="AE66" s="16"/>
      <c r="AF66" s="22"/>
      <c r="AG66" s="16"/>
      <c r="AH66" s="16"/>
      <c r="AI66" s="16"/>
      <c r="AJ66" s="16"/>
      <c r="AK66" s="16"/>
      <c r="AL66" s="16"/>
      <c r="AM66" s="4">
        <f t="shared" si="57"/>
        <v>0</v>
      </c>
      <c r="AN66" s="4"/>
      <c r="AO66" s="4">
        <f t="shared" si="58"/>
        <v>0</v>
      </c>
      <c r="AP66" s="4">
        <f t="shared" si="59"/>
        <v>0</v>
      </c>
      <c r="AQ66" s="4">
        <v>5787</v>
      </c>
      <c r="AR66" s="4">
        <f t="shared" si="82"/>
        <v>5787</v>
      </c>
      <c r="AS66" s="4">
        <v>5787</v>
      </c>
      <c r="AT66" s="4">
        <v>5787</v>
      </c>
      <c r="AU66" s="4">
        <v>5787</v>
      </c>
      <c r="AV66" s="4">
        <v>5787</v>
      </c>
      <c r="AW66" s="4">
        <v>5787</v>
      </c>
      <c r="AX66" s="4">
        <v>5787</v>
      </c>
      <c r="AY66" s="4">
        <f>AX66</f>
        <v>5787</v>
      </c>
      <c r="AZ66" s="4">
        <v>5787</v>
      </c>
      <c r="BA66" s="4">
        <v>5787</v>
      </c>
      <c r="BB66" s="18">
        <v>5787</v>
      </c>
      <c r="BC66" s="4">
        <f t="shared" si="63"/>
        <v>69444</v>
      </c>
      <c r="BD66" s="4"/>
      <c r="BE66" s="4">
        <f t="shared" si="64"/>
        <v>69444</v>
      </c>
      <c r="BF66" s="11"/>
      <c r="BH66" s="11">
        <f t="shared" si="65"/>
        <v>618479.57999999996</v>
      </c>
    </row>
    <row r="67" spans="1:60" x14ac:dyDescent="0.2">
      <c r="A67" s="23">
        <v>8</v>
      </c>
      <c r="B67" s="23">
        <v>8</v>
      </c>
      <c r="C67" s="3" t="s">
        <v>25</v>
      </c>
      <c r="D67" s="14">
        <v>634574.13</v>
      </c>
      <c r="E67" s="4">
        <v>0</v>
      </c>
      <c r="F67" s="4">
        <f t="shared" si="52"/>
        <v>76752</v>
      </c>
      <c r="G67" s="4">
        <v>472229.22</v>
      </c>
      <c r="H67" s="14"/>
      <c r="I67" s="4">
        <f t="shared" si="53"/>
        <v>1183555.3500000001</v>
      </c>
      <c r="J67" s="4">
        <f t="shared" si="54"/>
        <v>544000</v>
      </c>
      <c r="K67" s="15">
        <f t="shared" si="55"/>
        <v>639555.35000000009</v>
      </c>
      <c r="L67" s="4">
        <v>736000</v>
      </c>
      <c r="M67" s="18"/>
      <c r="N67" s="18"/>
      <c r="O67" s="18"/>
      <c r="P67" s="18"/>
      <c r="Q67" s="18"/>
      <c r="R67" s="18"/>
      <c r="S67" s="18"/>
      <c r="T67" s="15"/>
      <c r="U67" s="18"/>
      <c r="V67" s="18"/>
      <c r="W67" s="18"/>
      <c r="X67" s="18"/>
      <c r="Y67" s="4">
        <f t="shared" si="81"/>
        <v>0</v>
      </c>
      <c r="Z67" s="4">
        <f t="shared" si="56"/>
        <v>736000</v>
      </c>
      <c r="AA67" s="16">
        <v>16000</v>
      </c>
      <c r="AB67" s="16">
        <v>16000</v>
      </c>
      <c r="AC67" s="16">
        <v>16000</v>
      </c>
      <c r="AD67" s="16">
        <v>16000</v>
      </c>
      <c r="AE67" s="16">
        <v>16000</v>
      </c>
      <c r="AF67" s="22">
        <v>16000</v>
      </c>
      <c r="AG67" s="16">
        <v>16000</v>
      </c>
      <c r="AH67" s="16">
        <v>16000</v>
      </c>
      <c r="AI67" s="16">
        <v>16000</v>
      </c>
      <c r="AJ67" s="16">
        <v>16000</v>
      </c>
      <c r="AK67" s="16">
        <v>16000</v>
      </c>
      <c r="AL67" s="16">
        <v>16000</v>
      </c>
      <c r="AM67" s="4">
        <f t="shared" si="57"/>
        <v>192000</v>
      </c>
      <c r="AN67" s="4"/>
      <c r="AO67" s="4">
        <f t="shared" si="58"/>
        <v>192000</v>
      </c>
      <c r="AP67" s="4">
        <f t="shared" si="59"/>
        <v>544000</v>
      </c>
      <c r="AQ67" s="4">
        <v>6396</v>
      </c>
      <c r="AR67" s="4">
        <f t="shared" si="82"/>
        <v>6396</v>
      </c>
      <c r="AS67" s="4">
        <v>6396</v>
      </c>
      <c r="AT67" s="4">
        <v>6396</v>
      </c>
      <c r="AU67" s="4">
        <v>6396</v>
      </c>
      <c r="AV67" s="4">
        <v>6396</v>
      </c>
      <c r="AW67" s="4">
        <v>6396</v>
      </c>
      <c r="AX67" s="4">
        <v>6396</v>
      </c>
      <c r="AY67" s="4">
        <f>AX67</f>
        <v>6396</v>
      </c>
      <c r="AZ67" s="4">
        <v>6396</v>
      </c>
      <c r="BA67" s="4">
        <v>6396</v>
      </c>
      <c r="BB67" s="18">
        <v>6396</v>
      </c>
      <c r="BC67" s="4">
        <f t="shared" si="63"/>
        <v>76752</v>
      </c>
      <c r="BD67" s="4"/>
      <c r="BE67" s="4">
        <f t="shared" si="64"/>
        <v>76752</v>
      </c>
      <c r="BF67" s="11"/>
      <c r="BH67" s="11">
        <f t="shared" si="65"/>
        <v>711326.13</v>
      </c>
    </row>
    <row r="68" spans="1:60" x14ac:dyDescent="0.2">
      <c r="A68" s="23">
        <v>10</v>
      </c>
      <c r="B68" s="23">
        <v>10</v>
      </c>
      <c r="C68" s="3" t="s">
        <v>64</v>
      </c>
      <c r="D68" s="14">
        <v>608785.5</v>
      </c>
      <c r="E68" s="4">
        <v>0</v>
      </c>
      <c r="F68" s="4">
        <f t="shared" si="52"/>
        <v>26523</v>
      </c>
      <c r="G68" s="4">
        <v>490390.97</v>
      </c>
      <c r="H68" s="14"/>
      <c r="I68" s="4">
        <f t="shared" si="53"/>
        <v>1125699.47</v>
      </c>
      <c r="J68" s="4">
        <f t="shared" si="54"/>
        <v>921890</v>
      </c>
      <c r="K68" s="15">
        <f t="shared" si="55"/>
        <v>203809.46999999997</v>
      </c>
      <c r="L68" s="4">
        <v>656000</v>
      </c>
      <c r="M68" s="18"/>
      <c r="N68" s="18">
        <v>323000</v>
      </c>
      <c r="O68" s="18"/>
      <c r="P68" s="18"/>
      <c r="Q68" s="18"/>
      <c r="R68" s="18"/>
      <c r="S68" s="18">
        <v>175000</v>
      </c>
      <c r="T68" s="18"/>
      <c r="U68" s="18"/>
      <c r="V68" s="18"/>
      <c r="W68" s="18"/>
      <c r="X68" s="18"/>
      <c r="Y68" s="4">
        <f t="shared" si="81"/>
        <v>498000</v>
      </c>
      <c r="Z68" s="4">
        <f t="shared" si="56"/>
        <v>1154000</v>
      </c>
      <c r="AA68" s="16">
        <v>16000</v>
      </c>
      <c r="AB68" s="16">
        <v>16000</v>
      </c>
      <c r="AC68" s="16">
        <v>19000</v>
      </c>
      <c r="AD68" s="16">
        <v>19000</v>
      </c>
      <c r="AE68" s="16">
        <v>19000</v>
      </c>
      <c r="AF68" s="22">
        <v>19000</v>
      </c>
      <c r="AG68" s="16">
        <v>18935</v>
      </c>
      <c r="AH68" s="16">
        <v>18935</v>
      </c>
      <c r="AI68" s="16">
        <v>18935</v>
      </c>
      <c r="AJ68" s="16">
        <v>22435</v>
      </c>
      <c r="AK68" s="16">
        <v>22435</v>
      </c>
      <c r="AL68" s="16">
        <v>22435</v>
      </c>
      <c r="AM68" s="4">
        <f t="shared" si="57"/>
        <v>232110</v>
      </c>
      <c r="AN68" s="4"/>
      <c r="AO68" s="4">
        <f t="shared" si="58"/>
        <v>232110</v>
      </c>
      <c r="AP68" s="4">
        <f t="shared" si="59"/>
        <v>921890</v>
      </c>
      <c r="AQ68" s="4">
        <v>2077.5</v>
      </c>
      <c r="AR68" s="4">
        <f t="shared" si="82"/>
        <v>2077.5</v>
      </c>
      <c r="AS68" s="4">
        <v>2077.5</v>
      </c>
      <c r="AT68" s="4">
        <f>AS68</f>
        <v>2077.5</v>
      </c>
      <c r="AU68" s="4">
        <v>2077.5</v>
      </c>
      <c r="AV68" s="4">
        <v>2077.5</v>
      </c>
      <c r="AW68" s="4">
        <v>2078</v>
      </c>
      <c r="AX68" s="4">
        <v>2078</v>
      </c>
      <c r="AY68" s="4">
        <f>AX68</f>
        <v>2078</v>
      </c>
      <c r="AZ68" s="4">
        <v>2608</v>
      </c>
      <c r="BA68" s="4">
        <v>2608</v>
      </c>
      <c r="BB68" s="18">
        <v>2608</v>
      </c>
      <c r="BC68" s="4">
        <f t="shared" si="63"/>
        <v>26523</v>
      </c>
      <c r="BD68" s="4"/>
      <c r="BE68" s="4">
        <f t="shared" si="64"/>
        <v>26523</v>
      </c>
      <c r="BF68" s="11"/>
      <c r="BH68" s="11">
        <f t="shared" si="65"/>
        <v>635308.5</v>
      </c>
    </row>
    <row r="69" spans="1:60" x14ac:dyDescent="0.2">
      <c r="A69" s="23">
        <v>107</v>
      </c>
      <c r="B69" s="23">
        <v>107</v>
      </c>
      <c r="C69" s="3" t="s">
        <v>26</v>
      </c>
      <c r="D69" s="14">
        <v>246493.61</v>
      </c>
      <c r="E69" s="4">
        <v>0</v>
      </c>
      <c r="F69" s="4">
        <f t="shared" si="52"/>
        <v>29844</v>
      </c>
      <c r="G69" s="4">
        <v>75887.91</v>
      </c>
      <c r="H69" s="3"/>
      <c r="I69" s="4">
        <f t="shared" si="53"/>
        <v>352225.52</v>
      </c>
      <c r="J69" s="4">
        <f t="shared" si="54"/>
        <v>165460</v>
      </c>
      <c r="K69" s="15">
        <f t="shared" si="55"/>
        <v>186765.52000000002</v>
      </c>
      <c r="L69" s="4">
        <v>136004</v>
      </c>
      <c r="M69" s="18"/>
      <c r="N69" s="19"/>
      <c r="O69" s="19"/>
      <c r="P69" s="15"/>
      <c r="Q69" s="15"/>
      <c r="R69" s="15">
        <v>30000</v>
      </c>
      <c r="S69" s="15"/>
      <c r="T69" s="3"/>
      <c r="U69" s="15"/>
      <c r="V69" s="15"/>
      <c r="W69" s="15"/>
      <c r="X69" s="18">
        <v>40000</v>
      </c>
      <c r="Y69" s="4">
        <f>SUM(M69:X69)</f>
        <v>70000</v>
      </c>
      <c r="Z69" s="4">
        <f t="shared" si="56"/>
        <v>206004</v>
      </c>
      <c r="AA69" s="4">
        <v>3160</v>
      </c>
      <c r="AB69" s="4">
        <v>3160</v>
      </c>
      <c r="AC69" s="4">
        <v>3160</v>
      </c>
      <c r="AD69" s="4">
        <v>3160</v>
      </c>
      <c r="AE69" s="4">
        <v>3160</v>
      </c>
      <c r="AF69" s="15">
        <v>3160</v>
      </c>
      <c r="AG69" s="4">
        <v>3164</v>
      </c>
      <c r="AH69" s="4">
        <v>3164</v>
      </c>
      <c r="AI69" s="4">
        <v>3164</v>
      </c>
      <c r="AJ69" s="4">
        <v>3764</v>
      </c>
      <c r="AK69" s="4">
        <v>3764</v>
      </c>
      <c r="AL69" s="4">
        <v>4564</v>
      </c>
      <c r="AM69" s="4">
        <f t="shared" si="57"/>
        <v>40544</v>
      </c>
      <c r="AN69" s="4"/>
      <c r="AO69" s="4">
        <f t="shared" si="58"/>
        <v>40544</v>
      </c>
      <c r="AP69" s="4">
        <f t="shared" si="59"/>
        <v>165460</v>
      </c>
      <c r="AQ69" s="4">
        <v>2487</v>
      </c>
      <c r="AR69" s="4">
        <f t="shared" si="82"/>
        <v>2487</v>
      </c>
      <c r="AS69" s="4">
        <f t="shared" ref="AS69:AS70" si="83">AR69</f>
        <v>2487</v>
      </c>
      <c r="AT69" s="4">
        <f t="shared" ref="AT69:AT70" si="84">AS69</f>
        <v>2487</v>
      </c>
      <c r="AU69" s="4">
        <v>2487</v>
      </c>
      <c r="AV69" s="4">
        <v>2487</v>
      </c>
      <c r="AW69" s="4">
        <v>2487</v>
      </c>
      <c r="AX69" s="4">
        <v>2487</v>
      </c>
      <c r="AY69" s="4">
        <f t="shared" ref="AY69:AY70" si="85">AX69</f>
        <v>2487</v>
      </c>
      <c r="AZ69" s="4">
        <v>2487</v>
      </c>
      <c r="BA69" s="4">
        <v>2487</v>
      </c>
      <c r="BB69" s="18">
        <v>2487</v>
      </c>
      <c r="BC69" s="4">
        <f t="shared" si="63"/>
        <v>29844</v>
      </c>
      <c r="BD69" s="4"/>
      <c r="BE69" s="4">
        <f t="shared" si="64"/>
        <v>29844</v>
      </c>
      <c r="BF69" s="11"/>
      <c r="BH69" s="11">
        <f t="shared" si="65"/>
        <v>276337.61</v>
      </c>
    </row>
    <row r="70" spans="1:60" x14ac:dyDescent="0.2">
      <c r="A70" s="23">
        <v>108</v>
      </c>
      <c r="B70" s="23">
        <v>108</v>
      </c>
      <c r="C70" s="3" t="s">
        <v>27</v>
      </c>
      <c r="D70" s="14">
        <v>30684</v>
      </c>
      <c r="E70" s="4">
        <v>0</v>
      </c>
      <c r="F70" s="4">
        <f t="shared" si="52"/>
        <v>16512</v>
      </c>
      <c r="G70" s="4">
        <v>10541.79</v>
      </c>
      <c r="H70" s="3"/>
      <c r="I70" s="4">
        <f t="shared" si="53"/>
        <v>57737.79</v>
      </c>
      <c r="J70" s="4">
        <f t="shared" si="54"/>
        <v>0</v>
      </c>
      <c r="K70" s="15">
        <f t="shared" si="55"/>
        <v>57737.79</v>
      </c>
      <c r="L70" s="3">
        <v>0</v>
      </c>
      <c r="M70" s="18"/>
      <c r="N70" s="19"/>
      <c r="O70" s="19"/>
      <c r="P70" s="15"/>
      <c r="Q70" s="15"/>
      <c r="R70" s="15"/>
      <c r="S70" s="15"/>
      <c r="T70" s="3"/>
      <c r="U70" s="15"/>
      <c r="V70" s="15"/>
      <c r="W70" s="15"/>
      <c r="X70" s="18"/>
      <c r="Y70" s="4">
        <f>SUM(M70:X70)</f>
        <v>0</v>
      </c>
      <c r="Z70" s="4">
        <f t="shared" si="56"/>
        <v>0</v>
      </c>
      <c r="AA70" s="4"/>
      <c r="AB70" s="4"/>
      <c r="AC70" s="4"/>
      <c r="AD70" s="4"/>
      <c r="AE70" s="4"/>
      <c r="AF70" s="15"/>
      <c r="AG70" s="4"/>
      <c r="AH70" s="4"/>
      <c r="AI70" s="4"/>
      <c r="AJ70" s="4"/>
      <c r="AK70" s="4"/>
      <c r="AL70" s="4"/>
      <c r="AM70" s="4">
        <f t="shared" si="57"/>
        <v>0</v>
      </c>
      <c r="AN70" s="4"/>
      <c r="AO70" s="4">
        <f t="shared" si="58"/>
        <v>0</v>
      </c>
      <c r="AP70" s="4">
        <f t="shared" si="59"/>
        <v>0</v>
      </c>
      <c r="AQ70" s="4">
        <v>1376</v>
      </c>
      <c r="AR70" s="4">
        <f t="shared" si="82"/>
        <v>1376</v>
      </c>
      <c r="AS70" s="4">
        <f t="shared" si="83"/>
        <v>1376</v>
      </c>
      <c r="AT70" s="4">
        <f t="shared" si="84"/>
        <v>1376</v>
      </c>
      <c r="AU70" s="4">
        <v>1376</v>
      </c>
      <c r="AV70" s="4">
        <v>1376</v>
      </c>
      <c r="AW70" s="4">
        <v>1376</v>
      </c>
      <c r="AX70" s="4">
        <v>1376</v>
      </c>
      <c r="AY70" s="4">
        <f t="shared" si="85"/>
        <v>1376</v>
      </c>
      <c r="AZ70" s="4">
        <v>1376</v>
      </c>
      <c r="BA70" s="4">
        <v>1376</v>
      </c>
      <c r="BB70" s="18">
        <v>1376</v>
      </c>
      <c r="BC70" s="4">
        <f t="shared" si="63"/>
        <v>16512</v>
      </c>
      <c r="BD70" s="4"/>
      <c r="BE70" s="4">
        <f t="shared" si="64"/>
        <v>16512</v>
      </c>
      <c r="BF70" s="11"/>
      <c r="BH70" s="11">
        <f t="shared" si="65"/>
        <v>47196</v>
      </c>
    </row>
    <row r="71" spans="1:60" x14ac:dyDescent="0.2">
      <c r="A71" s="23">
        <v>1</v>
      </c>
      <c r="B71" s="23">
        <v>1</v>
      </c>
      <c r="C71" s="3" t="s">
        <v>21</v>
      </c>
      <c r="D71" s="14">
        <v>1322069.1499999999</v>
      </c>
      <c r="E71" s="4">
        <v>0</v>
      </c>
      <c r="F71" s="4">
        <f t="shared" si="52"/>
        <v>128642</v>
      </c>
      <c r="G71" s="4">
        <v>1291167.3999999999</v>
      </c>
      <c r="H71" s="14"/>
      <c r="I71" s="4">
        <f t="shared" si="53"/>
        <v>2741878.55</v>
      </c>
      <c r="J71" s="4">
        <f t="shared" si="54"/>
        <v>0</v>
      </c>
      <c r="K71" s="15">
        <f t="shared" si="55"/>
        <v>2741878.55</v>
      </c>
      <c r="L71" s="4">
        <v>90000</v>
      </c>
      <c r="M71" s="18">
        <v>0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4">
        <f t="shared" ref="Y71:Y76" si="86">SUM(M71:X71)</f>
        <v>0</v>
      </c>
      <c r="Z71" s="4">
        <f t="shared" si="56"/>
        <v>90000</v>
      </c>
      <c r="AA71" s="16">
        <v>10000</v>
      </c>
      <c r="AB71" s="16">
        <v>10000</v>
      </c>
      <c r="AC71" s="16">
        <v>10000</v>
      </c>
      <c r="AD71" s="16">
        <v>10000</v>
      </c>
      <c r="AE71" s="16">
        <v>10000</v>
      </c>
      <c r="AF71" s="22">
        <v>10000</v>
      </c>
      <c r="AG71" s="16">
        <v>10000</v>
      </c>
      <c r="AH71" s="16">
        <v>10000</v>
      </c>
      <c r="AI71" s="16">
        <v>10000</v>
      </c>
      <c r="AJ71" s="16"/>
      <c r="AK71" s="16"/>
      <c r="AL71" s="16"/>
      <c r="AM71" s="4">
        <f t="shared" si="57"/>
        <v>90000</v>
      </c>
      <c r="AN71" s="4"/>
      <c r="AO71" s="4">
        <f t="shared" si="58"/>
        <v>90000</v>
      </c>
      <c r="AP71" s="4">
        <f t="shared" si="59"/>
        <v>0</v>
      </c>
      <c r="AQ71" s="4">
        <v>10680</v>
      </c>
      <c r="AR71" s="4">
        <f>AQ71</f>
        <v>10680</v>
      </c>
      <c r="AS71" s="4">
        <v>10680</v>
      </c>
      <c r="AT71" s="4">
        <v>10762.5</v>
      </c>
      <c r="AU71" s="4">
        <v>10729.5</v>
      </c>
      <c r="AV71" s="4">
        <v>10730</v>
      </c>
      <c r="AW71" s="4">
        <v>10730</v>
      </c>
      <c r="AX71" s="4">
        <v>10730</v>
      </c>
      <c r="AY71" s="4">
        <f>AX71</f>
        <v>10730</v>
      </c>
      <c r="AZ71" s="4">
        <v>10730</v>
      </c>
      <c r="BA71" s="4">
        <v>10730</v>
      </c>
      <c r="BB71" s="18">
        <v>10730</v>
      </c>
      <c r="BC71" s="4">
        <f t="shared" si="63"/>
        <v>128642</v>
      </c>
      <c r="BD71" s="4"/>
      <c r="BE71" s="4">
        <f t="shared" si="64"/>
        <v>128642</v>
      </c>
      <c r="BF71" s="11"/>
      <c r="BH71" s="11">
        <f t="shared" si="65"/>
        <v>1450711.15</v>
      </c>
    </row>
    <row r="72" spans="1:60" x14ac:dyDescent="0.2">
      <c r="A72" s="23">
        <v>2</v>
      </c>
      <c r="B72" s="23">
        <v>2</v>
      </c>
      <c r="C72" s="24" t="s">
        <v>22</v>
      </c>
      <c r="D72" s="14">
        <v>1370369.5699999998</v>
      </c>
      <c r="E72" s="4">
        <v>0</v>
      </c>
      <c r="F72" s="4">
        <f t="shared" si="52"/>
        <v>128642</v>
      </c>
      <c r="G72" s="4">
        <v>1497672.47</v>
      </c>
      <c r="H72" s="14"/>
      <c r="I72" s="4">
        <f t="shared" si="53"/>
        <v>2996684.04</v>
      </c>
      <c r="J72" s="4">
        <f t="shared" si="54"/>
        <v>0</v>
      </c>
      <c r="K72" s="15">
        <f t="shared" si="55"/>
        <v>2996684.04</v>
      </c>
      <c r="L72" s="4">
        <v>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4">
        <f t="shared" si="86"/>
        <v>0</v>
      </c>
      <c r="Z72" s="4">
        <f t="shared" si="56"/>
        <v>0</v>
      </c>
      <c r="AA72" s="16"/>
      <c r="AB72" s="16"/>
      <c r="AC72" s="16"/>
      <c r="AD72" s="16"/>
      <c r="AE72" s="16"/>
      <c r="AF72" s="22"/>
      <c r="AG72" s="16"/>
      <c r="AH72" s="16"/>
      <c r="AI72" s="16"/>
      <c r="AJ72" s="16"/>
      <c r="AK72" s="16"/>
      <c r="AL72" s="16"/>
      <c r="AM72" s="4">
        <f t="shared" si="57"/>
        <v>0</v>
      </c>
      <c r="AN72" s="4"/>
      <c r="AO72" s="4">
        <f t="shared" si="58"/>
        <v>0</v>
      </c>
      <c r="AP72" s="4">
        <f t="shared" si="59"/>
        <v>0</v>
      </c>
      <c r="AQ72" s="4">
        <v>10680</v>
      </c>
      <c r="AR72" s="4">
        <f t="shared" ref="AR72:AR78" si="87">AQ72</f>
        <v>10680</v>
      </c>
      <c r="AS72" s="4">
        <v>10680</v>
      </c>
      <c r="AT72" s="4">
        <v>10762.5</v>
      </c>
      <c r="AU72" s="4">
        <v>10729.5</v>
      </c>
      <c r="AV72" s="4">
        <v>10730</v>
      </c>
      <c r="AW72" s="4">
        <v>10730</v>
      </c>
      <c r="AX72" s="4">
        <v>10730</v>
      </c>
      <c r="AY72" s="4">
        <f>AX72</f>
        <v>10730</v>
      </c>
      <c r="AZ72" s="4">
        <v>10730</v>
      </c>
      <c r="BA72" s="4">
        <v>10730</v>
      </c>
      <c r="BB72" s="18">
        <v>10730</v>
      </c>
      <c r="BC72" s="4">
        <f t="shared" si="63"/>
        <v>128642</v>
      </c>
      <c r="BD72" s="4"/>
      <c r="BE72" s="4">
        <f t="shared" si="64"/>
        <v>128642</v>
      </c>
      <c r="BF72" s="11"/>
      <c r="BH72" s="11">
        <f t="shared" si="65"/>
        <v>1499011.5699999998</v>
      </c>
    </row>
    <row r="73" spans="1:60" x14ac:dyDescent="0.2">
      <c r="A73" s="23">
        <v>3</v>
      </c>
      <c r="B73" s="23">
        <v>3</v>
      </c>
      <c r="C73" s="3" t="s">
        <v>23</v>
      </c>
      <c r="D73" s="14">
        <v>1336586.07</v>
      </c>
      <c r="E73" s="4">
        <v>0</v>
      </c>
      <c r="F73" s="4">
        <f t="shared" si="52"/>
        <v>0</v>
      </c>
      <c r="G73" s="4">
        <v>956905.63</v>
      </c>
      <c r="H73" s="17"/>
      <c r="I73" s="4">
        <f t="shared" si="53"/>
        <v>2293491.7000000002</v>
      </c>
      <c r="J73" s="4">
        <f t="shared" si="54"/>
        <v>200000</v>
      </c>
      <c r="K73" s="15">
        <f t="shared" si="55"/>
        <v>2093491.7000000002</v>
      </c>
      <c r="L73" s="4">
        <v>200000</v>
      </c>
      <c r="M73" s="18"/>
      <c r="N73" s="18"/>
      <c r="O73" s="18"/>
      <c r="P73" s="18"/>
      <c r="Q73" s="18"/>
      <c r="R73" s="18"/>
      <c r="S73" s="18"/>
      <c r="U73" s="18"/>
      <c r="V73" s="18"/>
      <c r="W73" s="18"/>
      <c r="X73" s="18"/>
      <c r="Y73" s="4">
        <f t="shared" si="86"/>
        <v>0</v>
      </c>
      <c r="Z73" s="4">
        <f t="shared" si="56"/>
        <v>200000</v>
      </c>
      <c r="AA73" s="16"/>
      <c r="AB73" s="16"/>
      <c r="AC73" s="16"/>
      <c r="AD73" s="16"/>
      <c r="AE73" s="16"/>
      <c r="AF73" s="22"/>
      <c r="AG73" s="16"/>
      <c r="AH73" s="16"/>
      <c r="AI73" s="16"/>
      <c r="AJ73" s="16"/>
      <c r="AK73" s="16"/>
      <c r="AL73" s="16"/>
      <c r="AM73" s="4">
        <f t="shared" si="57"/>
        <v>0</v>
      </c>
      <c r="AN73" s="4"/>
      <c r="AO73" s="4">
        <f t="shared" si="58"/>
        <v>0</v>
      </c>
      <c r="AP73" s="4">
        <f t="shared" si="59"/>
        <v>200000</v>
      </c>
      <c r="AQ73" s="4"/>
      <c r="AR73" s="4">
        <f t="shared" si="87"/>
        <v>0</v>
      </c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>
        <f t="shared" si="63"/>
        <v>0</v>
      </c>
      <c r="BD73" s="4"/>
      <c r="BE73" s="4">
        <f t="shared" si="64"/>
        <v>0</v>
      </c>
      <c r="BF73" s="11"/>
      <c r="BH73" s="11">
        <f t="shared" si="65"/>
        <v>1336586.07</v>
      </c>
    </row>
    <row r="74" spans="1:60" x14ac:dyDescent="0.2">
      <c r="A74" s="23">
        <v>7</v>
      </c>
      <c r="B74" s="23">
        <v>7</v>
      </c>
      <c r="C74" s="3" t="s">
        <v>24</v>
      </c>
      <c r="D74" s="14">
        <v>549035.57999999996</v>
      </c>
      <c r="E74" s="4">
        <v>0</v>
      </c>
      <c r="F74" s="4">
        <f t="shared" si="52"/>
        <v>69444</v>
      </c>
      <c r="G74" s="4">
        <v>385718.55</v>
      </c>
      <c r="H74" s="14"/>
      <c r="I74" s="4">
        <f t="shared" si="53"/>
        <v>1004198.1299999999</v>
      </c>
      <c r="J74" s="4">
        <f t="shared" si="54"/>
        <v>0</v>
      </c>
      <c r="K74" s="15">
        <f t="shared" si="55"/>
        <v>1004198.1299999999</v>
      </c>
      <c r="L74" s="4">
        <v>0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4">
        <f t="shared" si="86"/>
        <v>0</v>
      </c>
      <c r="Z74" s="4">
        <f t="shared" si="56"/>
        <v>0</v>
      </c>
      <c r="AA74" s="16"/>
      <c r="AB74" s="16"/>
      <c r="AC74" s="16"/>
      <c r="AD74" s="16"/>
      <c r="AE74" s="16"/>
      <c r="AF74" s="22"/>
      <c r="AG74" s="16"/>
      <c r="AH74" s="16"/>
      <c r="AI74" s="16"/>
      <c r="AJ74" s="16"/>
      <c r="AK74" s="16"/>
      <c r="AL74" s="16"/>
      <c r="AM74" s="4">
        <f t="shared" si="57"/>
        <v>0</v>
      </c>
      <c r="AN74" s="4"/>
      <c r="AO74" s="4">
        <f t="shared" si="58"/>
        <v>0</v>
      </c>
      <c r="AP74" s="4">
        <f t="shared" si="59"/>
        <v>0</v>
      </c>
      <c r="AQ74" s="4">
        <v>5787</v>
      </c>
      <c r="AR74" s="4">
        <f t="shared" si="87"/>
        <v>5787</v>
      </c>
      <c r="AS74" s="4">
        <v>5787</v>
      </c>
      <c r="AT74" s="4">
        <v>5787</v>
      </c>
      <c r="AU74" s="4">
        <v>5787</v>
      </c>
      <c r="AV74" s="4">
        <v>5787</v>
      </c>
      <c r="AW74" s="4">
        <v>5787</v>
      </c>
      <c r="AX74" s="4">
        <v>5787</v>
      </c>
      <c r="AY74" s="4">
        <f>AX74</f>
        <v>5787</v>
      </c>
      <c r="AZ74" s="4">
        <v>5787</v>
      </c>
      <c r="BA74" s="4">
        <v>5787</v>
      </c>
      <c r="BB74" s="18">
        <v>5787</v>
      </c>
      <c r="BC74" s="4">
        <f t="shared" si="63"/>
        <v>69444</v>
      </c>
      <c r="BD74" s="4"/>
      <c r="BE74" s="4">
        <f t="shared" si="64"/>
        <v>69444</v>
      </c>
      <c r="BF74" s="11"/>
      <c r="BH74" s="11">
        <f t="shared" si="65"/>
        <v>618479.57999999996</v>
      </c>
    </row>
    <row r="75" spans="1:60" x14ac:dyDescent="0.2">
      <c r="A75" s="23">
        <v>8</v>
      </c>
      <c r="B75" s="23">
        <v>8</v>
      </c>
      <c r="C75" s="3" t="s">
        <v>25</v>
      </c>
      <c r="D75" s="14">
        <v>634574.13</v>
      </c>
      <c r="E75" s="4">
        <v>0</v>
      </c>
      <c r="F75" s="4">
        <f t="shared" si="52"/>
        <v>76752</v>
      </c>
      <c r="G75" s="4">
        <v>472229.22</v>
      </c>
      <c r="H75" s="14"/>
      <c r="I75" s="4">
        <f t="shared" si="53"/>
        <v>1183555.3500000001</v>
      </c>
      <c r="J75" s="4">
        <f t="shared" si="54"/>
        <v>544000</v>
      </c>
      <c r="K75" s="15">
        <f t="shared" si="55"/>
        <v>639555.35000000009</v>
      </c>
      <c r="L75" s="4">
        <v>736000</v>
      </c>
      <c r="M75" s="18"/>
      <c r="N75" s="18"/>
      <c r="O75" s="18"/>
      <c r="P75" s="18"/>
      <c r="Q75" s="18"/>
      <c r="R75" s="18"/>
      <c r="S75" s="18"/>
      <c r="T75" s="15"/>
      <c r="U75" s="18"/>
      <c r="V75" s="18"/>
      <c r="W75" s="18"/>
      <c r="X75" s="18"/>
      <c r="Y75" s="4">
        <f t="shared" si="86"/>
        <v>0</v>
      </c>
      <c r="Z75" s="4">
        <f t="shared" si="56"/>
        <v>736000</v>
      </c>
      <c r="AA75" s="16">
        <v>16000</v>
      </c>
      <c r="AB75" s="16">
        <v>16000</v>
      </c>
      <c r="AC75" s="16">
        <v>16000</v>
      </c>
      <c r="AD75" s="16">
        <v>16000</v>
      </c>
      <c r="AE75" s="16">
        <v>16000</v>
      </c>
      <c r="AF75" s="22">
        <v>16000</v>
      </c>
      <c r="AG75" s="16">
        <v>16000</v>
      </c>
      <c r="AH75" s="16">
        <v>16000</v>
      </c>
      <c r="AI75" s="16">
        <v>16000</v>
      </c>
      <c r="AJ75" s="16">
        <v>16000</v>
      </c>
      <c r="AK75" s="16">
        <v>16000</v>
      </c>
      <c r="AL75" s="16">
        <v>16000</v>
      </c>
      <c r="AM75" s="4">
        <f t="shared" si="57"/>
        <v>192000</v>
      </c>
      <c r="AN75" s="4"/>
      <c r="AO75" s="4">
        <f t="shared" si="58"/>
        <v>192000</v>
      </c>
      <c r="AP75" s="4">
        <f t="shared" si="59"/>
        <v>544000</v>
      </c>
      <c r="AQ75" s="4">
        <v>6396</v>
      </c>
      <c r="AR75" s="4">
        <f t="shared" si="87"/>
        <v>6396</v>
      </c>
      <c r="AS75" s="4">
        <v>6396</v>
      </c>
      <c r="AT75" s="4">
        <v>6396</v>
      </c>
      <c r="AU75" s="4">
        <v>6396</v>
      </c>
      <c r="AV75" s="4">
        <v>6396</v>
      </c>
      <c r="AW75" s="4">
        <v>6396</v>
      </c>
      <c r="AX75" s="4">
        <v>6396</v>
      </c>
      <c r="AY75" s="4">
        <f>AX75</f>
        <v>6396</v>
      </c>
      <c r="AZ75" s="4">
        <v>6396</v>
      </c>
      <c r="BA75" s="4">
        <v>6396</v>
      </c>
      <c r="BB75" s="18">
        <v>6396</v>
      </c>
      <c r="BC75" s="4">
        <f t="shared" si="63"/>
        <v>76752</v>
      </c>
      <c r="BD75" s="4"/>
      <c r="BE75" s="4">
        <f t="shared" si="64"/>
        <v>76752</v>
      </c>
      <c r="BF75" s="11"/>
      <c r="BH75" s="11">
        <f t="shared" si="65"/>
        <v>711326.13</v>
      </c>
    </row>
    <row r="76" spans="1:60" x14ac:dyDescent="0.2">
      <c r="A76" s="23">
        <v>10</v>
      </c>
      <c r="B76" s="23">
        <v>10</v>
      </c>
      <c r="C76" s="3" t="s">
        <v>64</v>
      </c>
      <c r="D76" s="14">
        <v>608785.5</v>
      </c>
      <c r="E76" s="4">
        <v>0</v>
      </c>
      <c r="F76" s="4">
        <f t="shared" si="52"/>
        <v>26523</v>
      </c>
      <c r="G76" s="4">
        <v>490390.97</v>
      </c>
      <c r="H76" s="14"/>
      <c r="I76" s="4">
        <f t="shared" si="53"/>
        <v>1125699.47</v>
      </c>
      <c r="J76" s="4">
        <f t="shared" si="54"/>
        <v>921890</v>
      </c>
      <c r="K76" s="15">
        <f t="shared" si="55"/>
        <v>203809.46999999997</v>
      </c>
      <c r="L76" s="4">
        <v>656000</v>
      </c>
      <c r="M76" s="18"/>
      <c r="N76" s="18">
        <v>323000</v>
      </c>
      <c r="O76" s="18"/>
      <c r="P76" s="18"/>
      <c r="Q76" s="18"/>
      <c r="R76" s="18"/>
      <c r="S76" s="18">
        <v>175000</v>
      </c>
      <c r="T76" s="18"/>
      <c r="U76" s="18"/>
      <c r="V76" s="18"/>
      <c r="W76" s="18"/>
      <c r="X76" s="18"/>
      <c r="Y76" s="4">
        <f t="shared" si="86"/>
        <v>498000</v>
      </c>
      <c r="Z76" s="4">
        <f t="shared" si="56"/>
        <v>1154000</v>
      </c>
      <c r="AA76" s="16">
        <v>16000</v>
      </c>
      <c r="AB76" s="16">
        <v>16000</v>
      </c>
      <c r="AC76" s="16">
        <v>19000</v>
      </c>
      <c r="AD76" s="16">
        <v>19000</v>
      </c>
      <c r="AE76" s="16">
        <v>19000</v>
      </c>
      <c r="AF76" s="22">
        <v>19000</v>
      </c>
      <c r="AG76" s="16">
        <v>18935</v>
      </c>
      <c r="AH76" s="16">
        <v>18935</v>
      </c>
      <c r="AI76" s="16">
        <v>18935</v>
      </c>
      <c r="AJ76" s="16">
        <v>22435</v>
      </c>
      <c r="AK76" s="16">
        <v>22435</v>
      </c>
      <c r="AL76" s="16">
        <v>22435</v>
      </c>
      <c r="AM76" s="4">
        <f t="shared" si="57"/>
        <v>232110</v>
      </c>
      <c r="AN76" s="4"/>
      <c r="AO76" s="4">
        <f t="shared" si="58"/>
        <v>232110</v>
      </c>
      <c r="AP76" s="4">
        <f t="shared" si="59"/>
        <v>921890</v>
      </c>
      <c r="AQ76" s="4">
        <v>2077.5</v>
      </c>
      <c r="AR76" s="4">
        <f t="shared" si="87"/>
        <v>2077.5</v>
      </c>
      <c r="AS76" s="4">
        <v>2077.5</v>
      </c>
      <c r="AT76" s="4">
        <f>AS76</f>
        <v>2077.5</v>
      </c>
      <c r="AU76" s="4">
        <v>2077.5</v>
      </c>
      <c r="AV76" s="4">
        <v>2077.5</v>
      </c>
      <c r="AW76" s="4">
        <v>2078</v>
      </c>
      <c r="AX76" s="4">
        <v>2078</v>
      </c>
      <c r="AY76" s="4">
        <f>AX76</f>
        <v>2078</v>
      </c>
      <c r="AZ76" s="4">
        <v>2608</v>
      </c>
      <c r="BA76" s="4">
        <v>2608</v>
      </c>
      <c r="BB76" s="18">
        <v>2608</v>
      </c>
      <c r="BC76" s="4">
        <f t="shared" si="63"/>
        <v>26523</v>
      </c>
      <c r="BD76" s="4"/>
      <c r="BE76" s="4">
        <f t="shared" si="64"/>
        <v>26523</v>
      </c>
      <c r="BF76" s="11"/>
      <c r="BH76" s="11">
        <f t="shared" si="65"/>
        <v>635308.5</v>
      </c>
    </row>
    <row r="77" spans="1:60" x14ac:dyDescent="0.2">
      <c r="A77" s="23">
        <v>107</v>
      </c>
      <c r="B77" s="23">
        <v>107</v>
      </c>
      <c r="C77" s="3" t="s">
        <v>26</v>
      </c>
      <c r="D77" s="14">
        <v>246493.61</v>
      </c>
      <c r="E77" s="4">
        <v>0</v>
      </c>
      <c r="F77" s="4">
        <f t="shared" si="52"/>
        <v>29844</v>
      </c>
      <c r="G77" s="4">
        <v>75887.91</v>
      </c>
      <c r="H77" s="3"/>
      <c r="I77" s="4">
        <f t="shared" si="53"/>
        <v>352225.52</v>
      </c>
      <c r="J77" s="4">
        <f t="shared" si="54"/>
        <v>165460</v>
      </c>
      <c r="K77" s="15">
        <f t="shared" si="55"/>
        <v>186765.52000000002</v>
      </c>
      <c r="L77" s="4">
        <v>136004</v>
      </c>
      <c r="M77" s="18"/>
      <c r="N77" s="19"/>
      <c r="O77" s="19"/>
      <c r="P77" s="15"/>
      <c r="Q77" s="15"/>
      <c r="R77" s="15">
        <v>30000</v>
      </c>
      <c r="S77" s="15"/>
      <c r="T77" s="3"/>
      <c r="U77" s="15"/>
      <c r="V77" s="15"/>
      <c r="W77" s="15"/>
      <c r="X77" s="18">
        <v>40000</v>
      </c>
      <c r="Y77" s="4">
        <f>SUM(M77:X77)</f>
        <v>70000</v>
      </c>
      <c r="Z77" s="4">
        <f t="shared" si="56"/>
        <v>206004</v>
      </c>
      <c r="AA77" s="4">
        <v>3160</v>
      </c>
      <c r="AB77" s="4">
        <v>3160</v>
      </c>
      <c r="AC77" s="4">
        <v>3160</v>
      </c>
      <c r="AD77" s="4">
        <v>3160</v>
      </c>
      <c r="AE77" s="4">
        <v>3160</v>
      </c>
      <c r="AF77" s="15">
        <v>3160</v>
      </c>
      <c r="AG77" s="4">
        <v>3164</v>
      </c>
      <c r="AH77" s="4">
        <v>3164</v>
      </c>
      <c r="AI77" s="4">
        <v>3164</v>
      </c>
      <c r="AJ77" s="4">
        <v>3764</v>
      </c>
      <c r="AK77" s="4">
        <v>3764</v>
      </c>
      <c r="AL77" s="4">
        <v>4564</v>
      </c>
      <c r="AM77" s="4">
        <f t="shared" si="57"/>
        <v>40544</v>
      </c>
      <c r="AN77" s="4"/>
      <c r="AO77" s="4">
        <f t="shared" si="58"/>
        <v>40544</v>
      </c>
      <c r="AP77" s="4">
        <f t="shared" si="59"/>
        <v>165460</v>
      </c>
      <c r="AQ77" s="4">
        <v>2487</v>
      </c>
      <c r="AR77" s="4">
        <f t="shared" si="87"/>
        <v>2487</v>
      </c>
      <c r="AS77" s="4">
        <f t="shared" ref="AS77:AS78" si="88">AR77</f>
        <v>2487</v>
      </c>
      <c r="AT77" s="4">
        <f t="shared" ref="AT77:AT78" si="89">AS77</f>
        <v>2487</v>
      </c>
      <c r="AU77" s="4">
        <v>2487</v>
      </c>
      <c r="AV77" s="4">
        <v>2487</v>
      </c>
      <c r="AW77" s="4">
        <v>2487</v>
      </c>
      <c r="AX77" s="4">
        <v>2487</v>
      </c>
      <c r="AY77" s="4">
        <f t="shared" ref="AY77:AY78" si="90">AX77</f>
        <v>2487</v>
      </c>
      <c r="AZ77" s="4">
        <v>2487</v>
      </c>
      <c r="BA77" s="4">
        <v>2487</v>
      </c>
      <c r="BB77" s="18">
        <v>2487</v>
      </c>
      <c r="BC77" s="4">
        <f t="shared" si="63"/>
        <v>29844</v>
      </c>
      <c r="BD77" s="4"/>
      <c r="BE77" s="4">
        <f t="shared" si="64"/>
        <v>29844</v>
      </c>
      <c r="BF77" s="11"/>
      <c r="BH77" s="11">
        <f t="shared" si="65"/>
        <v>276337.61</v>
      </c>
    </row>
    <row r="78" spans="1:60" x14ac:dyDescent="0.2">
      <c r="A78" s="23">
        <v>108</v>
      </c>
      <c r="B78" s="23">
        <v>108</v>
      </c>
      <c r="C78" s="3" t="s">
        <v>27</v>
      </c>
      <c r="D78" s="14">
        <v>30684</v>
      </c>
      <c r="E78" s="4">
        <v>0</v>
      </c>
      <c r="F78" s="4">
        <f t="shared" si="52"/>
        <v>16512</v>
      </c>
      <c r="G78" s="4">
        <v>10541.79</v>
      </c>
      <c r="H78" s="3"/>
      <c r="I78" s="4">
        <f t="shared" si="53"/>
        <v>57737.79</v>
      </c>
      <c r="J78" s="4">
        <f t="shared" si="54"/>
        <v>0</v>
      </c>
      <c r="K78" s="15">
        <f t="shared" si="55"/>
        <v>57737.79</v>
      </c>
      <c r="L78" s="3">
        <v>0</v>
      </c>
      <c r="M78" s="18"/>
      <c r="N78" s="19"/>
      <c r="O78" s="19"/>
      <c r="P78" s="15"/>
      <c r="Q78" s="15"/>
      <c r="R78" s="15"/>
      <c r="S78" s="15"/>
      <c r="T78" s="3"/>
      <c r="U78" s="15"/>
      <c r="V78" s="15"/>
      <c r="W78" s="15"/>
      <c r="X78" s="18"/>
      <c r="Y78" s="4">
        <f>SUM(M78:X78)</f>
        <v>0</v>
      </c>
      <c r="Z78" s="4">
        <f t="shared" si="56"/>
        <v>0</v>
      </c>
      <c r="AA78" s="4"/>
      <c r="AB78" s="4"/>
      <c r="AC78" s="4"/>
      <c r="AD78" s="4"/>
      <c r="AE78" s="4"/>
      <c r="AF78" s="15"/>
      <c r="AG78" s="4"/>
      <c r="AH78" s="4"/>
      <c r="AI78" s="4"/>
      <c r="AJ78" s="4"/>
      <c r="AK78" s="4"/>
      <c r="AL78" s="4"/>
      <c r="AM78" s="4">
        <f t="shared" si="57"/>
        <v>0</v>
      </c>
      <c r="AN78" s="4"/>
      <c r="AO78" s="4">
        <f t="shared" si="58"/>
        <v>0</v>
      </c>
      <c r="AP78" s="4">
        <f t="shared" si="59"/>
        <v>0</v>
      </c>
      <c r="AQ78" s="4">
        <v>1376</v>
      </c>
      <c r="AR78" s="4">
        <f t="shared" si="87"/>
        <v>1376</v>
      </c>
      <c r="AS78" s="4">
        <f t="shared" si="88"/>
        <v>1376</v>
      </c>
      <c r="AT78" s="4">
        <f t="shared" si="89"/>
        <v>1376</v>
      </c>
      <c r="AU78" s="4">
        <v>1376</v>
      </c>
      <c r="AV78" s="4">
        <v>1376</v>
      </c>
      <c r="AW78" s="4">
        <v>1376</v>
      </c>
      <c r="AX78" s="4">
        <v>1376</v>
      </c>
      <c r="AY78" s="4">
        <f t="shared" si="90"/>
        <v>1376</v>
      </c>
      <c r="AZ78" s="4">
        <v>1376</v>
      </c>
      <c r="BA78" s="4">
        <v>1376</v>
      </c>
      <c r="BB78" s="18">
        <v>1376</v>
      </c>
      <c r="BC78" s="4">
        <f t="shared" si="63"/>
        <v>16512</v>
      </c>
      <c r="BD78" s="4"/>
      <c r="BE78" s="4">
        <f t="shared" si="64"/>
        <v>16512</v>
      </c>
      <c r="BF78" s="11"/>
      <c r="BH78" s="11">
        <f t="shared" si="65"/>
        <v>47196</v>
      </c>
    </row>
    <row r="79" spans="1:60" x14ac:dyDescent="0.2">
      <c r="A79" s="23">
        <v>1</v>
      </c>
      <c r="B79" s="23">
        <v>1</v>
      </c>
      <c r="C79" s="3" t="s">
        <v>21</v>
      </c>
      <c r="D79" s="14">
        <v>1322069.1499999999</v>
      </c>
      <c r="E79" s="4">
        <v>0</v>
      </c>
      <c r="F79" s="4">
        <f t="shared" si="52"/>
        <v>128642</v>
      </c>
      <c r="G79" s="4">
        <v>1291167.3999999999</v>
      </c>
      <c r="H79" s="14"/>
      <c r="I79" s="4">
        <f t="shared" si="53"/>
        <v>2741878.55</v>
      </c>
      <c r="J79" s="4">
        <f t="shared" si="54"/>
        <v>0</v>
      </c>
      <c r="K79" s="15">
        <f t="shared" si="55"/>
        <v>2741878.55</v>
      </c>
      <c r="L79" s="4">
        <v>90000</v>
      </c>
      <c r="M79" s="18">
        <v>0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4">
        <f t="shared" ref="Y79:Y84" si="91">SUM(M79:X79)</f>
        <v>0</v>
      </c>
      <c r="Z79" s="4">
        <f t="shared" si="56"/>
        <v>90000</v>
      </c>
      <c r="AA79" s="16">
        <v>10000</v>
      </c>
      <c r="AB79" s="16">
        <v>10000</v>
      </c>
      <c r="AC79" s="16">
        <v>10000</v>
      </c>
      <c r="AD79" s="16">
        <v>10000</v>
      </c>
      <c r="AE79" s="16">
        <v>10000</v>
      </c>
      <c r="AF79" s="22">
        <v>10000</v>
      </c>
      <c r="AG79" s="16">
        <v>10000</v>
      </c>
      <c r="AH79" s="16">
        <v>10000</v>
      </c>
      <c r="AI79" s="16">
        <v>10000</v>
      </c>
      <c r="AJ79" s="16"/>
      <c r="AK79" s="16"/>
      <c r="AL79" s="16"/>
      <c r="AM79" s="4">
        <f t="shared" si="57"/>
        <v>90000</v>
      </c>
      <c r="AN79" s="4"/>
      <c r="AO79" s="4">
        <f t="shared" si="58"/>
        <v>90000</v>
      </c>
      <c r="AP79" s="4">
        <f t="shared" si="59"/>
        <v>0</v>
      </c>
      <c r="AQ79" s="4">
        <v>10680</v>
      </c>
      <c r="AR79" s="4">
        <f>AQ79</f>
        <v>10680</v>
      </c>
      <c r="AS79" s="4">
        <v>10680</v>
      </c>
      <c r="AT79" s="4">
        <v>10762.5</v>
      </c>
      <c r="AU79" s="4">
        <v>10729.5</v>
      </c>
      <c r="AV79" s="4">
        <v>10730</v>
      </c>
      <c r="AW79" s="4">
        <v>10730</v>
      </c>
      <c r="AX79" s="4">
        <v>10730</v>
      </c>
      <c r="AY79" s="4">
        <f>AX79</f>
        <v>10730</v>
      </c>
      <c r="AZ79" s="4">
        <v>10730</v>
      </c>
      <c r="BA79" s="4">
        <v>10730</v>
      </c>
      <c r="BB79" s="18">
        <v>10730</v>
      </c>
      <c r="BC79" s="4">
        <f t="shared" si="63"/>
        <v>128642</v>
      </c>
      <c r="BD79" s="4"/>
      <c r="BE79" s="4">
        <f t="shared" si="64"/>
        <v>128642</v>
      </c>
      <c r="BF79" s="11"/>
      <c r="BH79" s="11">
        <f t="shared" si="65"/>
        <v>1450711.15</v>
      </c>
    </row>
    <row r="80" spans="1:60" x14ac:dyDescent="0.2">
      <c r="A80" s="23">
        <v>2</v>
      </c>
      <c r="B80" s="23">
        <v>2</v>
      </c>
      <c r="C80" s="24" t="s">
        <v>22</v>
      </c>
      <c r="D80" s="14">
        <v>1370369.5699999998</v>
      </c>
      <c r="E80" s="4">
        <v>0</v>
      </c>
      <c r="F80" s="4">
        <f t="shared" si="52"/>
        <v>128642</v>
      </c>
      <c r="G80" s="4">
        <v>1497672.47</v>
      </c>
      <c r="H80" s="14"/>
      <c r="I80" s="4">
        <f t="shared" si="53"/>
        <v>2996684.04</v>
      </c>
      <c r="J80" s="4">
        <f t="shared" si="54"/>
        <v>0</v>
      </c>
      <c r="K80" s="15">
        <f t="shared" si="55"/>
        <v>2996684.04</v>
      </c>
      <c r="L80" s="4">
        <v>0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4">
        <f t="shared" si="91"/>
        <v>0</v>
      </c>
      <c r="Z80" s="4">
        <f t="shared" si="56"/>
        <v>0</v>
      </c>
      <c r="AA80" s="16"/>
      <c r="AB80" s="16"/>
      <c r="AC80" s="16"/>
      <c r="AD80" s="16"/>
      <c r="AE80" s="16"/>
      <c r="AF80" s="22"/>
      <c r="AG80" s="16"/>
      <c r="AH80" s="16"/>
      <c r="AI80" s="16"/>
      <c r="AJ80" s="16"/>
      <c r="AK80" s="16"/>
      <c r="AL80" s="16"/>
      <c r="AM80" s="4">
        <f t="shared" si="57"/>
        <v>0</v>
      </c>
      <c r="AN80" s="4"/>
      <c r="AO80" s="4">
        <f t="shared" si="58"/>
        <v>0</v>
      </c>
      <c r="AP80" s="4">
        <f t="shared" si="59"/>
        <v>0</v>
      </c>
      <c r="AQ80" s="4">
        <v>10680</v>
      </c>
      <c r="AR80" s="4">
        <f t="shared" ref="AR80:AR86" si="92">AQ80</f>
        <v>10680</v>
      </c>
      <c r="AS80" s="4">
        <v>10680</v>
      </c>
      <c r="AT80" s="4">
        <v>10762.5</v>
      </c>
      <c r="AU80" s="4">
        <v>10729.5</v>
      </c>
      <c r="AV80" s="4">
        <v>10730</v>
      </c>
      <c r="AW80" s="4">
        <v>10730</v>
      </c>
      <c r="AX80" s="4">
        <v>10730</v>
      </c>
      <c r="AY80" s="4">
        <f>AX80</f>
        <v>10730</v>
      </c>
      <c r="AZ80" s="4">
        <v>10730</v>
      </c>
      <c r="BA80" s="4">
        <v>10730</v>
      </c>
      <c r="BB80" s="18">
        <v>10730</v>
      </c>
      <c r="BC80" s="4">
        <f t="shared" si="63"/>
        <v>128642</v>
      </c>
      <c r="BD80" s="4"/>
      <c r="BE80" s="4">
        <f t="shared" si="64"/>
        <v>128642</v>
      </c>
      <c r="BF80" s="11"/>
      <c r="BH80" s="11">
        <f t="shared" si="65"/>
        <v>1499011.5699999998</v>
      </c>
    </row>
    <row r="81" spans="1:60" x14ac:dyDescent="0.2">
      <c r="A81" s="23">
        <v>3</v>
      </c>
      <c r="B81" s="23">
        <v>3</v>
      </c>
      <c r="C81" s="3" t="s">
        <v>23</v>
      </c>
      <c r="D81" s="14">
        <v>1336586.07</v>
      </c>
      <c r="E81" s="4">
        <v>0</v>
      </c>
      <c r="F81" s="4">
        <f t="shared" si="52"/>
        <v>0</v>
      </c>
      <c r="G81" s="4">
        <v>956905.63</v>
      </c>
      <c r="H81" s="17"/>
      <c r="I81" s="4">
        <f t="shared" si="53"/>
        <v>2293491.7000000002</v>
      </c>
      <c r="J81" s="4">
        <f t="shared" si="54"/>
        <v>200000</v>
      </c>
      <c r="K81" s="15">
        <f t="shared" si="55"/>
        <v>2093491.7000000002</v>
      </c>
      <c r="L81" s="4">
        <v>200000</v>
      </c>
      <c r="M81" s="18"/>
      <c r="N81" s="18"/>
      <c r="O81" s="18"/>
      <c r="P81" s="18"/>
      <c r="Q81" s="18"/>
      <c r="R81" s="18"/>
      <c r="S81" s="18"/>
      <c r="U81" s="18"/>
      <c r="V81" s="18"/>
      <c r="W81" s="18"/>
      <c r="X81" s="18"/>
      <c r="Y81" s="4">
        <f t="shared" si="91"/>
        <v>0</v>
      </c>
      <c r="Z81" s="4">
        <f t="shared" si="56"/>
        <v>200000</v>
      </c>
      <c r="AA81" s="16"/>
      <c r="AB81" s="16"/>
      <c r="AC81" s="16"/>
      <c r="AD81" s="16"/>
      <c r="AE81" s="16"/>
      <c r="AF81" s="22"/>
      <c r="AG81" s="16"/>
      <c r="AH81" s="16"/>
      <c r="AI81" s="16"/>
      <c r="AJ81" s="16"/>
      <c r="AK81" s="16"/>
      <c r="AL81" s="16"/>
      <c r="AM81" s="4">
        <f t="shared" si="57"/>
        <v>0</v>
      </c>
      <c r="AN81" s="4"/>
      <c r="AO81" s="4">
        <f t="shared" si="58"/>
        <v>0</v>
      </c>
      <c r="AP81" s="4">
        <f t="shared" si="59"/>
        <v>200000</v>
      </c>
      <c r="AQ81" s="4"/>
      <c r="AR81" s="4">
        <f t="shared" si="92"/>
        <v>0</v>
      </c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>
        <f t="shared" si="63"/>
        <v>0</v>
      </c>
      <c r="BD81" s="4"/>
      <c r="BE81" s="4">
        <f t="shared" si="64"/>
        <v>0</v>
      </c>
      <c r="BF81" s="11"/>
      <c r="BH81" s="11">
        <f t="shared" si="65"/>
        <v>1336586.07</v>
      </c>
    </row>
    <row r="82" spans="1:60" x14ac:dyDescent="0.2">
      <c r="A82" s="23">
        <v>7</v>
      </c>
      <c r="B82" s="23">
        <v>7</v>
      </c>
      <c r="C82" s="3" t="s">
        <v>24</v>
      </c>
      <c r="D82" s="14">
        <v>549035.57999999996</v>
      </c>
      <c r="E82" s="4">
        <v>0</v>
      </c>
      <c r="F82" s="4">
        <f t="shared" si="52"/>
        <v>69444</v>
      </c>
      <c r="G82" s="4">
        <v>385718.55</v>
      </c>
      <c r="H82" s="14"/>
      <c r="I82" s="4">
        <f t="shared" si="53"/>
        <v>1004198.1299999999</v>
      </c>
      <c r="J82" s="4">
        <f t="shared" si="54"/>
        <v>0</v>
      </c>
      <c r="K82" s="15">
        <f t="shared" si="55"/>
        <v>1004198.1299999999</v>
      </c>
      <c r="L82" s="4">
        <v>0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4">
        <f t="shared" si="91"/>
        <v>0</v>
      </c>
      <c r="Z82" s="4">
        <f t="shared" si="56"/>
        <v>0</v>
      </c>
      <c r="AA82" s="16"/>
      <c r="AB82" s="16"/>
      <c r="AC82" s="16"/>
      <c r="AD82" s="16"/>
      <c r="AE82" s="16"/>
      <c r="AF82" s="22"/>
      <c r="AG82" s="16"/>
      <c r="AH82" s="16"/>
      <c r="AI82" s="16"/>
      <c r="AJ82" s="16"/>
      <c r="AK82" s="16"/>
      <c r="AL82" s="16"/>
      <c r="AM82" s="4">
        <f t="shared" si="57"/>
        <v>0</v>
      </c>
      <c r="AN82" s="4"/>
      <c r="AO82" s="4">
        <f t="shared" si="58"/>
        <v>0</v>
      </c>
      <c r="AP82" s="4">
        <f t="shared" si="59"/>
        <v>0</v>
      </c>
      <c r="AQ82" s="4">
        <v>5787</v>
      </c>
      <c r="AR82" s="4">
        <f t="shared" si="92"/>
        <v>5787</v>
      </c>
      <c r="AS82" s="4">
        <v>5787</v>
      </c>
      <c r="AT82" s="4">
        <v>5787</v>
      </c>
      <c r="AU82" s="4">
        <v>5787</v>
      </c>
      <c r="AV82" s="4">
        <v>5787</v>
      </c>
      <c r="AW82" s="4">
        <v>5787</v>
      </c>
      <c r="AX82" s="4">
        <v>5787</v>
      </c>
      <c r="AY82" s="4">
        <f>AX82</f>
        <v>5787</v>
      </c>
      <c r="AZ82" s="4">
        <v>5787</v>
      </c>
      <c r="BA82" s="4">
        <v>5787</v>
      </c>
      <c r="BB82" s="18">
        <v>5787</v>
      </c>
      <c r="BC82" s="4">
        <f t="shared" si="63"/>
        <v>69444</v>
      </c>
      <c r="BD82" s="4"/>
      <c r="BE82" s="4">
        <f t="shared" si="64"/>
        <v>69444</v>
      </c>
      <c r="BF82" s="11"/>
      <c r="BH82" s="11">
        <f t="shared" si="65"/>
        <v>618479.57999999996</v>
      </c>
    </row>
    <row r="83" spans="1:60" x14ac:dyDescent="0.2">
      <c r="A83" s="23">
        <v>8</v>
      </c>
      <c r="B83" s="23">
        <v>8</v>
      </c>
      <c r="C83" s="3" t="s">
        <v>25</v>
      </c>
      <c r="D83" s="14">
        <v>634574.13</v>
      </c>
      <c r="E83" s="4">
        <v>0</v>
      </c>
      <c r="F83" s="4">
        <f t="shared" si="52"/>
        <v>76752</v>
      </c>
      <c r="G83" s="4">
        <v>472229.22</v>
      </c>
      <c r="H83" s="14"/>
      <c r="I83" s="4">
        <f t="shared" si="53"/>
        <v>1183555.3500000001</v>
      </c>
      <c r="J83" s="4">
        <f t="shared" si="54"/>
        <v>544000</v>
      </c>
      <c r="K83" s="15">
        <f t="shared" si="55"/>
        <v>639555.35000000009</v>
      </c>
      <c r="L83" s="4">
        <v>736000</v>
      </c>
      <c r="M83" s="18"/>
      <c r="N83" s="18"/>
      <c r="O83" s="18"/>
      <c r="P83" s="18"/>
      <c r="Q83" s="18"/>
      <c r="R83" s="18"/>
      <c r="S83" s="18"/>
      <c r="T83" s="15"/>
      <c r="U83" s="18"/>
      <c r="V83" s="18"/>
      <c r="W83" s="18"/>
      <c r="X83" s="18"/>
      <c r="Y83" s="4">
        <f t="shared" si="91"/>
        <v>0</v>
      </c>
      <c r="Z83" s="4">
        <f t="shared" si="56"/>
        <v>736000</v>
      </c>
      <c r="AA83" s="16">
        <v>16000</v>
      </c>
      <c r="AB83" s="16">
        <v>16000</v>
      </c>
      <c r="AC83" s="16">
        <v>16000</v>
      </c>
      <c r="AD83" s="16">
        <v>16000</v>
      </c>
      <c r="AE83" s="16">
        <v>16000</v>
      </c>
      <c r="AF83" s="22">
        <v>16000</v>
      </c>
      <c r="AG83" s="16">
        <v>16000</v>
      </c>
      <c r="AH83" s="16">
        <v>16000</v>
      </c>
      <c r="AI83" s="16">
        <v>16000</v>
      </c>
      <c r="AJ83" s="16">
        <v>16000</v>
      </c>
      <c r="AK83" s="16">
        <v>16000</v>
      </c>
      <c r="AL83" s="16">
        <v>16000</v>
      </c>
      <c r="AM83" s="4">
        <f t="shared" si="57"/>
        <v>192000</v>
      </c>
      <c r="AN83" s="4"/>
      <c r="AO83" s="4">
        <f t="shared" si="58"/>
        <v>192000</v>
      </c>
      <c r="AP83" s="4">
        <f t="shared" si="59"/>
        <v>544000</v>
      </c>
      <c r="AQ83" s="4">
        <v>6396</v>
      </c>
      <c r="AR83" s="4">
        <f t="shared" si="92"/>
        <v>6396</v>
      </c>
      <c r="AS83" s="4">
        <v>6396</v>
      </c>
      <c r="AT83" s="4">
        <v>6396</v>
      </c>
      <c r="AU83" s="4">
        <v>6396</v>
      </c>
      <c r="AV83" s="4">
        <v>6396</v>
      </c>
      <c r="AW83" s="4">
        <v>6396</v>
      </c>
      <c r="AX83" s="4">
        <v>6396</v>
      </c>
      <c r="AY83" s="4">
        <f>AX83</f>
        <v>6396</v>
      </c>
      <c r="AZ83" s="4">
        <v>6396</v>
      </c>
      <c r="BA83" s="4">
        <v>6396</v>
      </c>
      <c r="BB83" s="18">
        <v>6396</v>
      </c>
      <c r="BC83" s="4">
        <f t="shared" si="63"/>
        <v>76752</v>
      </c>
      <c r="BD83" s="4"/>
      <c r="BE83" s="4">
        <f t="shared" si="64"/>
        <v>76752</v>
      </c>
      <c r="BF83" s="11"/>
      <c r="BH83" s="11">
        <f t="shared" si="65"/>
        <v>711326.13</v>
      </c>
    </row>
    <row r="84" spans="1:60" x14ac:dyDescent="0.2">
      <c r="A84" s="23">
        <v>10</v>
      </c>
      <c r="B84" s="23">
        <v>10</v>
      </c>
      <c r="C84" s="3" t="s">
        <v>64</v>
      </c>
      <c r="D84" s="14">
        <v>608785.5</v>
      </c>
      <c r="E84" s="4">
        <v>0</v>
      </c>
      <c r="F84" s="4">
        <f t="shared" si="52"/>
        <v>26523</v>
      </c>
      <c r="G84" s="4">
        <v>490390.97</v>
      </c>
      <c r="H84" s="14"/>
      <c r="I84" s="4">
        <f t="shared" si="53"/>
        <v>1125699.47</v>
      </c>
      <c r="J84" s="4">
        <f t="shared" si="54"/>
        <v>921890</v>
      </c>
      <c r="K84" s="15">
        <f t="shared" si="55"/>
        <v>203809.46999999997</v>
      </c>
      <c r="L84" s="4">
        <v>656000</v>
      </c>
      <c r="M84" s="18"/>
      <c r="N84" s="18">
        <v>323000</v>
      </c>
      <c r="O84" s="18"/>
      <c r="P84" s="18"/>
      <c r="Q84" s="18"/>
      <c r="R84" s="18"/>
      <c r="S84" s="18">
        <v>175000</v>
      </c>
      <c r="T84" s="18"/>
      <c r="U84" s="18"/>
      <c r="V84" s="18"/>
      <c r="W84" s="18"/>
      <c r="X84" s="18"/>
      <c r="Y84" s="4">
        <f t="shared" si="91"/>
        <v>498000</v>
      </c>
      <c r="Z84" s="4">
        <f t="shared" si="56"/>
        <v>1154000</v>
      </c>
      <c r="AA84" s="16">
        <v>16000</v>
      </c>
      <c r="AB84" s="16">
        <v>16000</v>
      </c>
      <c r="AC84" s="16">
        <v>19000</v>
      </c>
      <c r="AD84" s="16">
        <v>19000</v>
      </c>
      <c r="AE84" s="16">
        <v>19000</v>
      </c>
      <c r="AF84" s="22">
        <v>19000</v>
      </c>
      <c r="AG84" s="16">
        <v>18935</v>
      </c>
      <c r="AH84" s="16">
        <v>18935</v>
      </c>
      <c r="AI84" s="16">
        <v>18935</v>
      </c>
      <c r="AJ84" s="16">
        <v>22435</v>
      </c>
      <c r="AK84" s="16">
        <v>22435</v>
      </c>
      <c r="AL84" s="16">
        <v>22435</v>
      </c>
      <c r="AM84" s="4">
        <f t="shared" si="57"/>
        <v>232110</v>
      </c>
      <c r="AN84" s="4"/>
      <c r="AO84" s="4">
        <f t="shared" si="58"/>
        <v>232110</v>
      </c>
      <c r="AP84" s="4">
        <f t="shared" si="59"/>
        <v>921890</v>
      </c>
      <c r="AQ84" s="4">
        <v>2077.5</v>
      </c>
      <c r="AR84" s="4">
        <f t="shared" si="92"/>
        <v>2077.5</v>
      </c>
      <c r="AS84" s="4">
        <v>2077.5</v>
      </c>
      <c r="AT84" s="4">
        <f>AS84</f>
        <v>2077.5</v>
      </c>
      <c r="AU84" s="4">
        <v>2077.5</v>
      </c>
      <c r="AV84" s="4">
        <v>2077.5</v>
      </c>
      <c r="AW84" s="4">
        <v>2078</v>
      </c>
      <c r="AX84" s="4">
        <v>2078</v>
      </c>
      <c r="AY84" s="4">
        <f>AX84</f>
        <v>2078</v>
      </c>
      <c r="AZ84" s="4">
        <v>2608</v>
      </c>
      <c r="BA84" s="4">
        <v>2608</v>
      </c>
      <c r="BB84" s="18">
        <v>2608</v>
      </c>
      <c r="BC84" s="4">
        <f t="shared" si="63"/>
        <v>26523</v>
      </c>
      <c r="BD84" s="4"/>
      <c r="BE84" s="4">
        <f t="shared" si="64"/>
        <v>26523</v>
      </c>
      <c r="BF84" s="11"/>
      <c r="BH84" s="11">
        <f t="shared" si="65"/>
        <v>635308.5</v>
      </c>
    </row>
    <row r="85" spans="1:60" x14ac:dyDescent="0.2">
      <c r="A85" s="23">
        <v>107</v>
      </c>
      <c r="B85" s="23">
        <v>107</v>
      </c>
      <c r="C85" s="3" t="s">
        <v>26</v>
      </c>
      <c r="D85" s="14">
        <v>246493.61</v>
      </c>
      <c r="E85" s="4">
        <v>0</v>
      </c>
      <c r="F85" s="4">
        <f t="shared" si="52"/>
        <v>29844</v>
      </c>
      <c r="G85" s="4">
        <v>75887.91</v>
      </c>
      <c r="H85" s="3"/>
      <c r="I85" s="4">
        <f t="shared" si="53"/>
        <v>352225.52</v>
      </c>
      <c r="J85" s="4">
        <f t="shared" si="54"/>
        <v>165460</v>
      </c>
      <c r="K85" s="15">
        <f t="shared" si="55"/>
        <v>186765.52000000002</v>
      </c>
      <c r="L85" s="4">
        <v>136004</v>
      </c>
      <c r="M85" s="18"/>
      <c r="N85" s="19"/>
      <c r="O85" s="19"/>
      <c r="P85" s="15"/>
      <c r="Q85" s="15"/>
      <c r="R85" s="15">
        <v>30000</v>
      </c>
      <c r="S85" s="15"/>
      <c r="T85" s="3"/>
      <c r="U85" s="15"/>
      <c r="V85" s="15"/>
      <c r="W85" s="15"/>
      <c r="X85" s="18">
        <v>40000</v>
      </c>
      <c r="Y85" s="4">
        <f>SUM(M85:X85)</f>
        <v>70000</v>
      </c>
      <c r="Z85" s="4">
        <f t="shared" si="56"/>
        <v>206004</v>
      </c>
      <c r="AA85" s="4">
        <v>3160</v>
      </c>
      <c r="AB85" s="4">
        <v>3160</v>
      </c>
      <c r="AC85" s="4">
        <v>3160</v>
      </c>
      <c r="AD85" s="4">
        <v>3160</v>
      </c>
      <c r="AE85" s="4">
        <v>3160</v>
      </c>
      <c r="AF85" s="15">
        <v>3160</v>
      </c>
      <c r="AG85" s="4">
        <v>3164</v>
      </c>
      <c r="AH85" s="4">
        <v>3164</v>
      </c>
      <c r="AI85" s="4">
        <v>3164</v>
      </c>
      <c r="AJ85" s="4">
        <v>3764</v>
      </c>
      <c r="AK85" s="4">
        <v>3764</v>
      </c>
      <c r="AL85" s="4">
        <v>4564</v>
      </c>
      <c r="AM85" s="4">
        <f t="shared" si="57"/>
        <v>40544</v>
      </c>
      <c r="AN85" s="4"/>
      <c r="AO85" s="4">
        <f t="shared" si="58"/>
        <v>40544</v>
      </c>
      <c r="AP85" s="4">
        <f t="shared" si="59"/>
        <v>165460</v>
      </c>
      <c r="AQ85" s="4">
        <v>2487</v>
      </c>
      <c r="AR85" s="4">
        <f t="shared" si="92"/>
        <v>2487</v>
      </c>
      <c r="AS85" s="4">
        <f t="shared" ref="AS85:AS86" si="93">AR85</f>
        <v>2487</v>
      </c>
      <c r="AT85" s="4">
        <f t="shared" ref="AT85:AT86" si="94">AS85</f>
        <v>2487</v>
      </c>
      <c r="AU85" s="4">
        <v>2487</v>
      </c>
      <c r="AV85" s="4">
        <v>2487</v>
      </c>
      <c r="AW85" s="4">
        <v>2487</v>
      </c>
      <c r="AX85" s="4">
        <v>2487</v>
      </c>
      <c r="AY85" s="4">
        <f t="shared" ref="AY85:AY86" si="95">AX85</f>
        <v>2487</v>
      </c>
      <c r="AZ85" s="4">
        <v>2487</v>
      </c>
      <c r="BA85" s="4">
        <v>2487</v>
      </c>
      <c r="BB85" s="18">
        <v>2487</v>
      </c>
      <c r="BC85" s="4">
        <f t="shared" si="63"/>
        <v>29844</v>
      </c>
      <c r="BD85" s="4"/>
      <c r="BE85" s="4">
        <f t="shared" si="64"/>
        <v>29844</v>
      </c>
      <c r="BF85" s="11"/>
      <c r="BH85" s="11">
        <f t="shared" si="65"/>
        <v>276337.61</v>
      </c>
    </row>
    <row r="86" spans="1:60" x14ac:dyDescent="0.2">
      <c r="A86" s="23">
        <v>108</v>
      </c>
      <c r="B86" s="23">
        <v>108</v>
      </c>
      <c r="C86" s="3" t="s">
        <v>27</v>
      </c>
      <c r="D86" s="14">
        <v>30684</v>
      </c>
      <c r="E86" s="4">
        <v>0</v>
      </c>
      <c r="F86" s="4">
        <f t="shared" si="52"/>
        <v>16512</v>
      </c>
      <c r="G86" s="4">
        <v>10541.79</v>
      </c>
      <c r="H86" s="3"/>
      <c r="I86" s="4">
        <f t="shared" si="53"/>
        <v>57737.79</v>
      </c>
      <c r="J86" s="4">
        <f t="shared" si="54"/>
        <v>0</v>
      </c>
      <c r="K86" s="15">
        <f t="shared" si="55"/>
        <v>57737.79</v>
      </c>
      <c r="L86" s="3">
        <v>0</v>
      </c>
      <c r="M86" s="18"/>
      <c r="N86" s="19"/>
      <c r="O86" s="19"/>
      <c r="P86" s="15"/>
      <c r="Q86" s="15"/>
      <c r="R86" s="15"/>
      <c r="S86" s="15"/>
      <c r="T86" s="3"/>
      <c r="U86" s="15"/>
      <c r="V86" s="15"/>
      <c r="W86" s="15"/>
      <c r="X86" s="18"/>
      <c r="Y86" s="4">
        <f>SUM(M86:X86)</f>
        <v>0</v>
      </c>
      <c r="Z86" s="4">
        <f t="shared" si="56"/>
        <v>0</v>
      </c>
      <c r="AA86" s="4"/>
      <c r="AB86" s="4"/>
      <c r="AC86" s="4"/>
      <c r="AD86" s="4"/>
      <c r="AE86" s="4"/>
      <c r="AF86" s="15"/>
      <c r="AG86" s="4"/>
      <c r="AH86" s="4"/>
      <c r="AI86" s="4"/>
      <c r="AJ86" s="4"/>
      <c r="AK86" s="4"/>
      <c r="AL86" s="4"/>
      <c r="AM86" s="4">
        <f t="shared" si="57"/>
        <v>0</v>
      </c>
      <c r="AN86" s="4"/>
      <c r="AO86" s="4">
        <f t="shared" si="58"/>
        <v>0</v>
      </c>
      <c r="AP86" s="4">
        <f t="shared" si="59"/>
        <v>0</v>
      </c>
      <c r="AQ86" s="4">
        <v>1376</v>
      </c>
      <c r="AR86" s="4">
        <f t="shared" si="92"/>
        <v>1376</v>
      </c>
      <c r="AS86" s="4">
        <f t="shared" si="93"/>
        <v>1376</v>
      </c>
      <c r="AT86" s="4">
        <f t="shared" si="94"/>
        <v>1376</v>
      </c>
      <c r="AU86" s="4">
        <v>1376</v>
      </c>
      <c r="AV86" s="4">
        <v>1376</v>
      </c>
      <c r="AW86" s="4">
        <v>1376</v>
      </c>
      <c r="AX86" s="4">
        <v>1376</v>
      </c>
      <c r="AY86" s="4">
        <f t="shared" si="95"/>
        <v>1376</v>
      </c>
      <c r="AZ86" s="4">
        <v>1376</v>
      </c>
      <c r="BA86" s="4">
        <v>1376</v>
      </c>
      <c r="BB86" s="18">
        <v>1376</v>
      </c>
      <c r="BC86" s="4">
        <f t="shared" si="63"/>
        <v>16512</v>
      </c>
      <c r="BD86" s="4"/>
      <c r="BE86" s="4">
        <f t="shared" si="64"/>
        <v>16512</v>
      </c>
      <c r="BF86" s="11"/>
      <c r="BH86" s="11">
        <f t="shared" si="65"/>
        <v>47196</v>
      </c>
    </row>
    <row r="87" spans="1:60" x14ac:dyDescent="0.2">
      <c r="A87" s="23">
        <v>1</v>
      </c>
      <c r="B87" s="23">
        <v>1</v>
      </c>
      <c r="C87" s="3" t="s">
        <v>21</v>
      </c>
      <c r="D87" s="14">
        <v>1322069.1499999999</v>
      </c>
      <c r="E87" s="4">
        <v>0</v>
      </c>
      <c r="F87" s="4">
        <f t="shared" si="52"/>
        <v>128642</v>
      </c>
      <c r="G87" s="4">
        <v>1291167.3999999999</v>
      </c>
      <c r="H87" s="14"/>
      <c r="I87" s="4">
        <f t="shared" si="53"/>
        <v>2741878.55</v>
      </c>
      <c r="J87" s="4">
        <f t="shared" si="54"/>
        <v>0</v>
      </c>
      <c r="K87" s="15">
        <f t="shared" si="55"/>
        <v>2741878.55</v>
      </c>
      <c r="L87" s="4">
        <v>90000</v>
      </c>
      <c r="M87" s="18">
        <v>0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4">
        <f t="shared" ref="Y87:Y92" si="96">SUM(M87:X87)</f>
        <v>0</v>
      </c>
      <c r="Z87" s="4">
        <f t="shared" si="56"/>
        <v>90000</v>
      </c>
      <c r="AA87" s="16">
        <v>10000</v>
      </c>
      <c r="AB87" s="16">
        <v>10000</v>
      </c>
      <c r="AC87" s="16">
        <v>10000</v>
      </c>
      <c r="AD87" s="16">
        <v>10000</v>
      </c>
      <c r="AE87" s="16">
        <v>10000</v>
      </c>
      <c r="AF87" s="22">
        <v>10000</v>
      </c>
      <c r="AG87" s="16">
        <v>10000</v>
      </c>
      <c r="AH87" s="16">
        <v>10000</v>
      </c>
      <c r="AI87" s="16">
        <v>10000</v>
      </c>
      <c r="AJ87" s="16"/>
      <c r="AK87" s="16"/>
      <c r="AL87" s="16"/>
      <c r="AM87" s="4">
        <f t="shared" si="57"/>
        <v>90000</v>
      </c>
      <c r="AN87" s="4"/>
      <c r="AO87" s="4">
        <f t="shared" si="58"/>
        <v>90000</v>
      </c>
      <c r="AP87" s="4">
        <f t="shared" si="59"/>
        <v>0</v>
      </c>
      <c r="AQ87" s="4">
        <v>10680</v>
      </c>
      <c r="AR87" s="4">
        <f>AQ87</f>
        <v>10680</v>
      </c>
      <c r="AS87" s="4">
        <v>10680</v>
      </c>
      <c r="AT87" s="4">
        <v>10762.5</v>
      </c>
      <c r="AU87" s="4">
        <v>10729.5</v>
      </c>
      <c r="AV87" s="4">
        <v>10730</v>
      </c>
      <c r="AW87" s="4">
        <v>10730</v>
      </c>
      <c r="AX87" s="4">
        <v>10730</v>
      </c>
      <c r="AY87" s="4">
        <f>AX87</f>
        <v>10730</v>
      </c>
      <c r="AZ87" s="4">
        <v>10730</v>
      </c>
      <c r="BA87" s="4">
        <v>10730</v>
      </c>
      <c r="BB87" s="18">
        <v>10730</v>
      </c>
      <c r="BC87" s="4">
        <f t="shared" si="63"/>
        <v>128642</v>
      </c>
      <c r="BD87" s="4"/>
      <c r="BE87" s="4">
        <f t="shared" si="64"/>
        <v>128642</v>
      </c>
      <c r="BF87" s="11"/>
      <c r="BH87" s="11">
        <f t="shared" si="65"/>
        <v>1450711.15</v>
      </c>
    </row>
    <row r="88" spans="1:60" x14ac:dyDescent="0.2">
      <c r="A88" s="23">
        <v>2</v>
      </c>
      <c r="B88" s="23">
        <v>2</v>
      </c>
      <c r="C88" s="24" t="s">
        <v>22</v>
      </c>
      <c r="D88" s="14">
        <v>1370369.5699999998</v>
      </c>
      <c r="E88" s="4">
        <v>0</v>
      </c>
      <c r="F88" s="4">
        <f t="shared" si="52"/>
        <v>128642</v>
      </c>
      <c r="G88" s="4">
        <v>1497672.47</v>
      </c>
      <c r="H88" s="14"/>
      <c r="I88" s="4">
        <f t="shared" si="53"/>
        <v>2996684.04</v>
      </c>
      <c r="J88" s="4">
        <f t="shared" si="54"/>
        <v>0</v>
      </c>
      <c r="K88" s="15">
        <f t="shared" si="55"/>
        <v>2996684.04</v>
      </c>
      <c r="L88" s="4">
        <v>0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4">
        <f t="shared" si="96"/>
        <v>0</v>
      </c>
      <c r="Z88" s="4">
        <f t="shared" si="56"/>
        <v>0</v>
      </c>
      <c r="AA88" s="16"/>
      <c r="AB88" s="16"/>
      <c r="AC88" s="16"/>
      <c r="AD88" s="16"/>
      <c r="AE88" s="16"/>
      <c r="AF88" s="22"/>
      <c r="AG88" s="16"/>
      <c r="AH88" s="16"/>
      <c r="AI88" s="16"/>
      <c r="AJ88" s="16"/>
      <c r="AK88" s="16"/>
      <c r="AL88" s="16"/>
      <c r="AM88" s="4">
        <f t="shared" si="57"/>
        <v>0</v>
      </c>
      <c r="AN88" s="4"/>
      <c r="AO88" s="4">
        <f t="shared" si="58"/>
        <v>0</v>
      </c>
      <c r="AP88" s="4">
        <f t="shared" si="59"/>
        <v>0</v>
      </c>
      <c r="AQ88" s="4">
        <v>10680</v>
      </c>
      <c r="AR88" s="4">
        <f t="shared" ref="AR88:AR94" si="97">AQ88</f>
        <v>10680</v>
      </c>
      <c r="AS88" s="4">
        <v>10680</v>
      </c>
      <c r="AT88" s="4">
        <v>10762.5</v>
      </c>
      <c r="AU88" s="4">
        <v>10729.5</v>
      </c>
      <c r="AV88" s="4">
        <v>10730</v>
      </c>
      <c r="AW88" s="4">
        <v>10730</v>
      </c>
      <c r="AX88" s="4">
        <v>10730</v>
      </c>
      <c r="AY88" s="4">
        <f>AX88</f>
        <v>10730</v>
      </c>
      <c r="AZ88" s="4">
        <v>10730</v>
      </c>
      <c r="BA88" s="4">
        <v>10730</v>
      </c>
      <c r="BB88" s="18">
        <v>10730</v>
      </c>
      <c r="BC88" s="4">
        <f t="shared" si="63"/>
        <v>128642</v>
      </c>
      <c r="BD88" s="4"/>
      <c r="BE88" s="4">
        <f t="shared" si="64"/>
        <v>128642</v>
      </c>
      <c r="BF88" s="11"/>
      <c r="BH88" s="11">
        <f t="shared" si="65"/>
        <v>1499011.5699999998</v>
      </c>
    </row>
    <row r="89" spans="1:60" x14ac:dyDescent="0.2">
      <c r="A89" s="23">
        <v>3</v>
      </c>
      <c r="B89" s="23">
        <v>3</v>
      </c>
      <c r="C89" s="3" t="s">
        <v>23</v>
      </c>
      <c r="D89" s="14">
        <v>1336586.07</v>
      </c>
      <c r="E89" s="4">
        <v>0</v>
      </c>
      <c r="F89" s="4">
        <f t="shared" si="52"/>
        <v>0</v>
      </c>
      <c r="G89" s="4">
        <v>956905.63</v>
      </c>
      <c r="H89" s="17"/>
      <c r="I89" s="4">
        <f t="shared" si="53"/>
        <v>2293491.7000000002</v>
      </c>
      <c r="J89" s="4">
        <f t="shared" si="54"/>
        <v>200000</v>
      </c>
      <c r="K89" s="15">
        <f t="shared" si="55"/>
        <v>2093491.7000000002</v>
      </c>
      <c r="L89" s="4">
        <v>200000</v>
      </c>
      <c r="M89" s="18"/>
      <c r="N89" s="18"/>
      <c r="O89" s="18"/>
      <c r="P89" s="18"/>
      <c r="Q89" s="18"/>
      <c r="R89" s="18"/>
      <c r="S89" s="18"/>
      <c r="U89" s="18"/>
      <c r="V89" s="18"/>
      <c r="W89" s="18"/>
      <c r="X89" s="18"/>
      <c r="Y89" s="4">
        <f t="shared" si="96"/>
        <v>0</v>
      </c>
      <c r="Z89" s="4">
        <f t="shared" si="56"/>
        <v>200000</v>
      </c>
      <c r="AA89" s="16"/>
      <c r="AB89" s="16"/>
      <c r="AC89" s="16"/>
      <c r="AD89" s="16"/>
      <c r="AE89" s="16"/>
      <c r="AF89" s="22"/>
      <c r="AG89" s="16"/>
      <c r="AH89" s="16"/>
      <c r="AI89" s="16"/>
      <c r="AJ89" s="16"/>
      <c r="AK89" s="16"/>
      <c r="AL89" s="16"/>
      <c r="AM89" s="4">
        <f t="shared" si="57"/>
        <v>0</v>
      </c>
      <c r="AN89" s="4"/>
      <c r="AO89" s="4">
        <f t="shared" si="58"/>
        <v>0</v>
      </c>
      <c r="AP89" s="4">
        <f t="shared" si="59"/>
        <v>200000</v>
      </c>
      <c r="AQ89" s="4"/>
      <c r="AR89" s="4">
        <f t="shared" si="97"/>
        <v>0</v>
      </c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>
        <f t="shared" si="63"/>
        <v>0</v>
      </c>
      <c r="BD89" s="4"/>
      <c r="BE89" s="4">
        <f t="shared" si="64"/>
        <v>0</v>
      </c>
      <c r="BF89" s="11"/>
      <c r="BH89" s="11">
        <f t="shared" si="65"/>
        <v>1336586.07</v>
      </c>
    </row>
    <row r="90" spans="1:60" x14ac:dyDescent="0.2">
      <c r="A90" s="23">
        <v>7</v>
      </c>
      <c r="B90" s="23">
        <v>7</v>
      </c>
      <c r="C90" s="3" t="s">
        <v>24</v>
      </c>
      <c r="D90" s="14">
        <v>549035.57999999996</v>
      </c>
      <c r="E90" s="4">
        <v>0</v>
      </c>
      <c r="F90" s="4">
        <f t="shared" si="52"/>
        <v>69444</v>
      </c>
      <c r="G90" s="4">
        <v>385718.55</v>
      </c>
      <c r="H90" s="14"/>
      <c r="I90" s="4">
        <f t="shared" si="53"/>
        <v>1004198.1299999999</v>
      </c>
      <c r="J90" s="4">
        <f t="shared" si="54"/>
        <v>0</v>
      </c>
      <c r="K90" s="15">
        <f t="shared" si="55"/>
        <v>1004198.1299999999</v>
      </c>
      <c r="L90" s="4">
        <v>0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4">
        <f t="shared" si="96"/>
        <v>0</v>
      </c>
      <c r="Z90" s="4">
        <f t="shared" si="56"/>
        <v>0</v>
      </c>
      <c r="AA90" s="16"/>
      <c r="AB90" s="16"/>
      <c r="AC90" s="16"/>
      <c r="AD90" s="16"/>
      <c r="AE90" s="16"/>
      <c r="AF90" s="22"/>
      <c r="AG90" s="16"/>
      <c r="AH90" s="16"/>
      <c r="AI90" s="16"/>
      <c r="AJ90" s="16"/>
      <c r="AK90" s="16"/>
      <c r="AL90" s="16"/>
      <c r="AM90" s="4">
        <f t="shared" si="57"/>
        <v>0</v>
      </c>
      <c r="AN90" s="4"/>
      <c r="AO90" s="4">
        <f t="shared" si="58"/>
        <v>0</v>
      </c>
      <c r="AP90" s="4">
        <f t="shared" si="59"/>
        <v>0</v>
      </c>
      <c r="AQ90" s="4">
        <v>5787</v>
      </c>
      <c r="AR90" s="4">
        <f t="shared" si="97"/>
        <v>5787</v>
      </c>
      <c r="AS90" s="4">
        <v>5787</v>
      </c>
      <c r="AT90" s="4">
        <v>5787</v>
      </c>
      <c r="AU90" s="4">
        <v>5787</v>
      </c>
      <c r="AV90" s="4">
        <v>5787</v>
      </c>
      <c r="AW90" s="4">
        <v>5787</v>
      </c>
      <c r="AX90" s="4">
        <v>5787</v>
      </c>
      <c r="AY90" s="4">
        <f>AX90</f>
        <v>5787</v>
      </c>
      <c r="AZ90" s="4">
        <v>5787</v>
      </c>
      <c r="BA90" s="4">
        <v>5787</v>
      </c>
      <c r="BB90" s="18">
        <v>5787</v>
      </c>
      <c r="BC90" s="4">
        <f t="shared" si="63"/>
        <v>69444</v>
      </c>
      <c r="BD90" s="4"/>
      <c r="BE90" s="4">
        <f t="shared" si="64"/>
        <v>69444</v>
      </c>
      <c r="BF90" s="11"/>
      <c r="BH90" s="11">
        <f t="shared" si="65"/>
        <v>618479.57999999996</v>
      </c>
    </row>
    <row r="91" spans="1:60" x14ac:dyDescent="0.2">
      <c r="A91" s="23">
        <v>8</v>
      </c>
      <c r="B91" s="23">
        <v>8</v>
      </c>
      <c r="C91" s="3" t="s">
        <v>25</v>
      </c>
      <c r="D91" s="14">
        <v>634574.13</v>
      </c>
      <c r="E91" s="4">
        <v>0</v>
      </c>
      <c r="F91" s="4">
        <f t="shared" si="52"/>
        <v>76752</v>
      </c>
      <c r="G91" s="4">
        <v>472229.22</v>
      </c>
      <c r="H91" s="14"/>
      <c r="I91" s="4">
        <f t="shared" si="53"/>
        <v>1183555.3500000001</v>
      </c>
      <c r="J91" s="4">
        <f t="shared" si="54"/>
        <v>544000</v>
      </c>
      <c r="K91" s="15">
        <f t="shared" si="55"/>
        <v>639555.35000000009</v>
      </c>
      <c r="L91" s="4">
        <v>736000</v>
      </c>
      <c r="M91" s="18"/>
      <c r="N91" s="18"/>
      <c r="O91" s="18"/>
      <c r="P91" s="18"/>
      <c r="Q91" s="18"/>
      <c r="R91" s="18"/>
      <c r="S91" s="18"/>
      <c r="T91" s="15"/>
      <c r="U91" s="18"/>
      <c r="V91" s="18"/>
      <c r="W91" s="18"/>
      <c r="X91" s="18"/>
      <c r="Y91" s="4">
        <f t="shared" si="96"/>
        <v>0</v>
      </c>
      <c r="Z91" s="4">
        <f t="shared" si="56"/>
        <v>736000</v>
      </c>
      <c r="AA91" s="16">
        <v>16000</v>
      </c>
      <c r="AB91" s="16">
        <v>16000</v>
      </c>
      <c r="AC91" s="16">
        <v>16000</v>
      </c>
      <c r="AD91" s="16">
        <v>16000</v>
      </c>
      <c r="AE91" s="16">
        <v>16000</v>
      </c>
      <c r="AF91" s="22">
        <v>16000</v>
      </c>
      <c r="AG91" s="16">
        <v>16000</v>
      </c>
      <c r="AH91" s="16">
        <v>16000</v>
      </c>
      <c r="AI91" s="16">
        <v>16000</v>
      </c>
      <c r="AJ91" s="16">
        <v>16000</v>
      </c>
      <c r="AK91" s="16">
        <v>16000</v>
      </c>
      <c r="AL91" s="16">
        <v>16000</v>
      </c>
      <c r="AM91" s="4">
        <f t="shared" si="57"/>
        <v>192000</v>
      </c>
      <c r="AN91" s="4"/>
      <c r="AO91" s="4">
        <f t="shared" si="58"/>
        <v>192000</v>
      </c>
      <c r="AP91" s="4">
        <f t="shared" si="59"/>
        <v>544000</v>
      </c>
      <c r="AQ91" s="4">
        <v>6396</v>
      </c>
      <c r="AR91" s="4">
        <f t="shared" si="97"/>
        <v>6396</v>
      </c>
      <c r="AS91" s="4">
        <v>6396</v>
      </c>
      <c r="AT91" s="4">
        <v>6396</v>
      </c>
      <c r="AU91" s="4">
        <v>6396</v>
      </c>
      <c r="AV91" s="4">
        <v>6396</v>
      </c>
      <c r="AW91" s="4">
        <v>6396</v>
      </c>
      <c r="AX91" s="4">
        <v>6396</v>
      </c>
      <c r="AY91" s="4">
        <f>AX91</f>
        <v>6396</v>
      </c>
      <c r="AZ91" s="4">
        <v>6396</v>
      </c>
      <c r="BA91" s="4">
        <v>6396</v>
      </c>
      <c r="BB91" s="18">
        <v>6396</v>
      </c>
      <c r="BC91" s="4">
        <f t="shared" si="63"/>
        <v>76752</v>
      </c>
      <c r="BD91" s="4"/>
      <c r="BE91" s="4">
        <f t="shared" si="64"/>
        <v>76752</v>
      </c>
      <c r="BF91" s="11"/>
      <c r="BH91" s="11">
        <f t="shared" si="65"/>
        <v>711326.13</v>
      </c>
    </row>
    <row r="92" spans="1:60" x14ac:dyDescent="0.2">
      <c r="A92" s="23">
        <v>10</v>
      </c>
      <c r="B92" s="23">
        <v>10</v>
      </c>
      <c r="C92" s="3" t="s">
        <v>64</v>
      </c>
      <c r="D92" s="14">
        <v>608785.5</v>
      </c>
      <c r="E92" s="4">
        <v>0</v>
      </c>
      <c r="F92" s="4">
        <f t="shared" si="52"/>
        <v>26523</v>
      </c>
      <c r="G92" s="4">
        <v>490390.97</v>
      </c>
      <c r="H92" s="14"/>
      <c r="I92" s="4">
        <f t="shared" si="53"/>
        <v>1125699.47</v>
      </c>
      <c r="J92" s="4">
        <f t="shared" si="54"/>
        <v>921890</v>
      </c>
      <c r="K92" s="15">
        <f t="shared" si="55"/>
        <v>203809.46999999997</v>
      </c>
      <c r="L92" s="4">
        <v>656000</v>
      </c>
      <c r="M92" s="18"/>
      <c r="N92" s="18">
        <v>323000</v>
      </c>
      <c r="O92" s="18"/>
      <c r="P92" s="18"/>
      <c r="Q92" s="18"/>
      <c r="R92" s="18"/>
      <c r="S92" s="18">
        <v>175000</v>
      </c>
      <c r="T92" s="18"/>
      <c r="U92" s="18"/>
      <c r="V92" s="18"/>
      <c r="W92" s="18"/>
      <c r="X92" s="18"/>
      <c r="Y92" s="4">
        <f t="shared" si="96"/>
        <v>498000</v>
      </c>
      <c r="Z92" s="4">
        <f t="shared" si="56"/>
        <v>1154000</v>
      </c>
      <c r="AA92" s="16">
        <v>16000</v>
      </c>
      <c r="AB92" s="16">
        <v>16000</v>
      </c>
      <c r="AC92" s="16">
        <v>19000</v>
      </c>
      <c r="AD92" s="16">
        <v>19000</v>
      </c>
      <c r="AE92" s="16">
        <v>19000</v>
      </c>
      <c r="AF92" s="22">
        <v>19000</v>
      </c>
      <c r="AG92" s="16">
        <v>18935</v>
      </c>
      <c r="AH92" s="16">
        <v>18935</v>
      </c>
      <c r="AI92" s="16">
        <v>18935</v>
      </c>
      <c r="AJ92" s="16">
        <v>22435</v>
      </c>
      <c r="AK92" s="16">
        <v>22435</v>
      </c>
      <c r="AL92" s="16">
        <v>22435</v>
      </c>
      <c r="AM92" s="4">
        <f t="shared" si="57"/>
        <v>232110</v>
      </c>
      <c r="AN92" s="4"/>
      <c r="AO92" s="4">
        <f t="shared" si="58"/>
        <v>232110</v>
      </c>
      <c r="AP92" s="4">
        <f t="shared" si="59"/>
        <v>921890</v>
      </c>
      <c r="AQ92" s="4">
        <v>2077.5</v>
      </c>
      <c r="AR92" s="4">
        <f t="shared" si="97"/>
        <v>2077.5</v>
      </c>
      <c r="AS92" s="4">
        <v>2077.5</v>
      </c>
      <c r="AT92" s="4">
        <f>AS92</f>
        <v>2077.5</v>
      </c>
      <c r="AU92" s="4">
        <v>2077.5</v>
      </c>
      <c r="AV92" s="4">
        <v>2077.5</v>
      </c>
      <c r="AW92" s="4">
        <v>2078</v>
      </c>
      <c r="AX92" s="4">
        <v>2078</v>
      </c>
      <c r="AY92" s="4">
        <f>AX92</f>
        <v>2078</v>
      </c>
      <c r="AZ92" s="4">
        <v>2608</v>
      </c>
      <c r="BA92" s="4">
        <v>2608</v>
      </c>
      <c r="BB92" s="18">
        <v>2608</v>
      </c>
      <c r="BC92" s="4">
        <f t="shared" si="63"/>
        <v>26523</v>
      </c>
      <c r="BD92" s="4"/>
      <c r="BE92" s="4">
        <f t="shared" si="64"/>
        <v>26523</v>
      </c>
      <c r="BF92" s="11"/>
      <c r="BH92" s="11">
        <f t="shared" si="65"/>
        <v>635308.5</v>
      </c>
    </row>
    <row r="93" spans="1:60" x14ac:dyDescent="0.2">
      <c r="A93" s="23">
        <v>107</v>
      </c>
      <c r="B93" s="23">
        <v>107</v>
      </c>
      <c r="C93" s="3" t="s">
        <v>26</v>
      </c>
      <c r="D93" s="14">
        <v>246493.61</v>
      </c>
      <c r="E93" s="4">
        <v>0</v>
      </c>
      <c r="F93" s="4">
        <f t="shared" si="52"/>
        <v>29844</v>
      </c>
      <c r="G93" s="4">
        <v>75887.91</v>
      </c>
      <c r="H93" s="3"/>
      <c r="I93" s="4">
        <f t="shared" si="53"/>
        <v>352225.52</v>
      </c>
      <c r="J93" s="4">
        <f t="shared" si="54"/>
        <v>165460</v>
      </c>
      <c r="K93" s="15">
        <f t="shared" si="55"/>
        <v>186765.52000000002</v>
      </c>
      <c r="L93" s="4">
        <v>136004</v>
      </c>
      <c r="M93" s="18"/>
      <c r="N93" s="19"/>
      <c r="O93" s="19"/>
      <c r="P93" s="15"/>
      <c r="Q93" s="15"/>
      <c r="R93" s="15">
        <v>30000</v>
      </c>
      <c r="S93" s="15"/>
      <c r="T93" s="3"/>
      <c r="U93" s="15"/>
      <c r="V93" s="15"/>
      <c r="W93" s="15"/>
      <c r="X93" s="18">
        <v>40000</v>
      </c>
      <c r="Y93" s="4">
        <f>SUM(M93:X93)</f>
        <v>70000</v>
      </c>
      <c r="Z93" s="4">
        <f t="shared" si="56"/>
        <v>206004</v>
      </c>
      <c r="AA93" s="4">
        <v>3160</v>
      </c>
      <c r="AB93" s="4">
        <v>3160</v>
      </c>
      <c r="AC93" s="4">
        <v>3160</v>
      </c>
      <c r="AD93" s="4">
        <v>3160</v>
      </c>
      <c r="AE93" s="4">
        <v>3160</v>
      </c>
      <c r="AF93" s="15">
        <v>3160</v>
      </c>
      <c r="AG93" s="4">
        <v>3164</v>
      </c>
      <c r="AH93" s="4">
        <v>3164</v>
      </c>
      <c r="AI93" s="4">
        <v>3164</v>
      </c>
      <c r="AJ93" s="4">
        <v>3764</v>
      </c>
      <c r="AK93" s="4">
        <v>3764</v>
      </c>
      <c r="AL93" s="4">
        <v>4564</v>
      </c>
      <c r="AM93" s="4">
        <f t="shared" si="57"/>
        <v>40544</v>
      </c>
      <c r="AN93" s="4"/>
      <c r="AO93" s="4">
        <f t="shared" si="58"/>
        <v>40544</v>
      </c>
      <c r="AP93" s="4">
        <f t="shared" si="59"/>
        <v>165460</v>
      </c>
      <c r="AQ93" s="4">
        <v>2487</v>
      </c>
      <c r="AR93" s="4">
        <f t="shared" si="97"/>
        <v>2487</v>
      </c>
      <c r="AS93" s="4">
        <f t="shared" ref="AS93:AS94" si="98">AR93</f>
        <v>2487</v>
      </c>
      <c r="AT93" s="4">
        <f t="shared" ref="AT93:AT94" si="99">AS93</f>
        <v>2487</v>
      </c>
      <c r="AU93" s="4">
        <v>2487</v>
      </c>
      <c r="AV93" s="4">
        <v>2487</v>
      </c>
      <c r="AW93" s="4">
        <v>2487</v>
      </c>
      <c r="AX93" s="4">
        <v>2487</v>
      </c>
      <c r="AY93" s="4">
        <f t="shared" ref="AY93:AY94" si="100">AX93</f>
        <v>2487</v>
      </c>
      <c r="AZ93" s="4">
        <v>2487</v>
      </c>
      <c r="BA93" s="4">
        <v>2487</v>
      </c>
      <c r="BB93" s="18">
        <v>2487</v>
      </c>
      <c r="BC93" s="4">
        <f t="shared" si="63"/>
        <v>29844</v>
      </c>
      <c r="BD93" s="4"/>
      <c r="BE93" s="4">
        <f t="shared" si="64"/>
        <v>29844</v>
      </c>
      <c r="BF93" s="11"/>
      <c r="BH93" s="11">
        <f t="shared" si="65"/>
        <v>276337.61</v>
      </c>
    </row>
    <row r="94" spans="1:60" x14ac:dyDescent="0.2">
      <c r="A94" s="23">
        <v>108</v>
      </c>
      <c r="B94" s="23">
        <v>108</v>
      </c>
      <c r="C94" s="3" t="s">
        <v>27</v>
      </c>
      <c r="D94" s="14">
        <v>30684</v>
      </c>
      <c r="E94" s="4">
        <v>0</v>
      </c>
      <c r="F94" s="4">
        <f t="shared" si="52"/>
        <v>16512</v>
      </c>
      <c r="G94" s="4">
        <v>10541.79</v>
      </c>
      <c r="H94" s="3"/>
      <c r="I94" s="4">
        <f t="shared" si="53"/>
        <v>57737.79</v>
      </c>
      <c r="J94" s="4">
        <f t="shared" si="54"/>
        <v>0</v>
      </c>
      <c r="K94" s="15">
        <f t="shared" si="55"/>
        <v>57737.79</v>
      </c>
      <c r="L94" s="3">
        <v>0</v>
      </c>
      <c r="M94" s="18"/>
      <c r="N94" s="19"/>
      <c r="O94" s="19"/>
      <c r="P94" s="15"/>
      <c r="Q94" s="15"/>
      <c r="R94" s="15"/>
      <c r="S94" s="15"/>
      <c r="T94" s="3"/>
      <c r="U94" s="15"/>
      <c r="V94" s="15"/>
      <c r="W94" s="15"/>
      <c r="X94" s="18"/>
      <c r="Y94" s="4">
        <f>SUM(M94:X94)</f>
        <v>0</v>
      </c>
      <c r="Z94" s="4">
        <f t="shared" si="56"/>
        <v>0</v>
      </c>
      <c r="AA94" s="4"/>
      <c r="AB94" s="4"/>
      <c r="AC94" s="4"/>
      <c r="AD94" s="4"/>
      <c r="AE94" s="4"/>
      <c r="AF94" s="15"/>
      <c r="AG94" s="4"/>
      <c r="AH94" s="4"/>
      <c r="AI94" s="4"/>
      <c r="AJ94" s="4"/>
      <c r="AK94" s="4"/>
      <c r="AL94" s="4"/>
      <c r="AM94" s="4">
        <f t="shared" si="57"/>
        <v>0</v>
      </c>
      <c r="AN94" s="4"/>
      <c r="AO94" s="4">
        <f t="shared" si="58"/>
        <v>0</v>
      </c>
      <c r="AP94" s="4">
        <f t="shared" si="59"/>
        <v>0</v>
      </c>
      <c r="AQ94" s="4">
        <v>1376</v>
      </c>
      <c r="AR94" s="4">
        <f t="shared" si="97"/>
        <v>1376</v>
      </c>
      <c r="AS94" s="4">
        <f t="shared" si="98"/>
        <v>1376</v>
      </c>
      <c r="AT94" s="4">
        <f t="shared" si="99"/>
        <v>1376</v>
      </c>
      <c r="AU94" s="4">
        <v>1376</v>
      </c>
      <c r="AV94" s="4">
        <v>1376</v>
      </c>
      <c r="AW94" s="4">
        <v>1376</v>
      </c>
      <c r="AX94" s="4">
        <v>1376</v>
      </c>
      <c r="AY94" s="4">
        <f t="shared" si="100"/>
        <v>1376</v>
      </c>
      <c r="AZ94" s="4">
        <v>1376</v>
      </c>
      <c r="BA94" s="4">
        <v>1376</v>
      </c>
      <c r="BB94" s="18">
        <v>1376</v>
      </c>
      <c r="BC94" s="4">
        <f t="shared" si="63"/>
        <v>16512</v>
      </c>
      <c r="BD94" s="4"/>
      <c r="BE94" s="4">
        <f t="shared" si="64"/>
        <v>16512</v>
      </c>
      <c r="BF94" s="11"/>
      <c r="BH94" s="11">
        <f t="shared" si="65"/>
        <v>47196</v>
      </c>
    </row>
    <row r="95" spans="1:60" x14ac:dyDescent="0.2">
      <c r="A95" s="23">
        <v>1</v>
      </c>
      <c r="B95" s="23">
        <v>1</v>
      </c>
      <c r="C95" s="3" t="s">
        <v>21</v>
      </c>
      <c r="D95" s="14">
        <v>1322069.1499999999</v>
      </c>
      <c r="E95" s="4">
        <v>0</v>
      </c>
      <c r="F95" s="4">
        <f t="shared" si="52"/>
        <v>128642</v>
      </c>
      <c r="G95" s="4">
        <v>1291167.3999999999</v>
      </c>
      <c r="H95" s="14"/>
      <c r="I95" s="4">
        <f t="shared" si="53"/>
        <v>2741878.55</v>
      </c>
      <c r="J95" s="4">
        <f t="shared" si="54"/>
        <v>0</v>
      </c>
      <c r="K95" s="15">
        <f t="shared" si="55"/>
        <v>2741878.55</v>
      </c>
      <c r="L95" s="4">
        <v>90000</v>
      </c>
      <c r="M95" s="18">
        <v>0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4">
        <f t="shared" ref="Y95:Y100" si="101">SUM(M95:X95)</f>
        <v>0</v>
      </c>
      <c r="Z95" s="4">
        <f t="shared" si="56"/>
        <v>90000</v>
      </c>
      <c r="AA95" s="16">
        <v>10000</v>
      </c>
      <c r="AB95" s="16">
        <v>10000</v>
      </c>
      <c r="AC95" s="16">
        <v>10000</v>
      </c>
      <c r="AD95" s="16">
        <v>10000</v>
      </c>
      <c r="AE95" s="16">
        <v>10000</v>
      </c>
      <c r="AF95" s="22">
        <v>10000</v>
      </c>
      <c r="AG95" s="16">
        <v>10000</v>
      </c>
      <c r="AH95" s="16">
        <v>10000</v>
      </c>
      <c r="AI95" s="16">
        <v>10000</v>
      </c>
      <c r="AJ95" s="16"/>
      <c r="AK95" s="16"/>
      <c r="AL95" s="16"/>
      <c r="AM95" s="4">
        <f t="shared" si="57"/>
        <v>90000</v>
      </c>
      <c r="AN95" s="4"/>
      <c r="AO95" s="4">
        <f t="shared" si="58"/>
        <v>90000</v>
      </c>
      <c r="AP95" s="4">
        <f t="shared" si="59"/>
        <v>0</v>
      </c>
      <c r="AQ95" s="4">
        <v>10680</v>
      </c>
      <c r="AR95" s="4">
        <f>AQ95</f>
        <v>10680</v>
      </c>
      <c r="AS95" s="4">
        <v>10680</v>
      </c>
      <c r="AT95" s="4">
        <v>10762.5</v>
      </c>
      <c r="AU95" s="4">
        <v>10729.5</v>
      </c>
      <c r="AV95" s="4">
        <v>10730</v>
      </c>
      <c r="AW95" s="4">
        <v>10730</v>
      </c>
      <c r="AX95" s="4">
        <v>10730</v>
      </c>
      <c r="AY95" s="4">
        <f>AX95</f>
        <v>10730</v>
      </c>
      <c r="AZ95" s="4">
        <v>10730</v>
      </c>
      <c r="BA95" s="4">
        <v>10730</v>
      </c>
      <c r="BB95" s="18">
        <v>10730</v>
      </c>
      <c r="BC95" s="4">
        <f t="shared" si="63"/>
        <v>128642</v>
      </c>
      <c r="BD95" s="4"/>
      <c r="BE95" s="4">
        <f t="shared" si="64"/>
        <v>128642</v>
      </c>
      <c r="BF95" s="11"/>
      <c r="BH95" s="11">
        <f t="shared" si="65"/>
        <v>1450711.15</v>
      </c>
    </row>
    <row r="96" spans="1:60" x14ac:dyDescent="0.2">
      <c r="A96" s="23">
        <v>2</v>
      </c>
      <c r="B96" s="23">
        <v>2</v>
      </c>
      <c r="C96" s="24" t="s">
        <v>22</v>
      </c>
      <c r="D96" s="14">
        <v>1370369.5699999998</v>
      </c>
      <c r="E96" s="4">
        <v>0</v>
      </c>
      <c r="F96" s="4">
        <f t="shared" si="52"/>
        <v>128642</v>
      </c>
      <c r="G96" s="4">
        <v>1497672.47</v>
      </c>
      <c r="H96" s="14"/>
      <c r="I96" s="4">
        <f t="shared" si="53"/>
        <v>2996684.04</v>
      </c>
      <c r="J96" s="4">
        <f t="shared" si="54"/>
        <v>0</v>
      </c>
      <c r="K96" s="15">
        <f t="shared" si="55"/>
        <v>2996684.04</v>
      </c>
      <c r="L96" s="4">
        <v>0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4">
        <f t="shared" si="101"/>
        <v>0</v>
      </c>
      <c r="Z96" s="4">
        <f t="shared" si="56"/>
        <v>0</v>
      </c>
      <c r="AA96" s="16"/>
      <c r="AB96" s="16"/>
      <c r="AC96" s="16"/>
      <c r="AD96" s="16"/>
      <c r="AE96" s="16"/>
      <c r="AF96" s="22"/>
      <c r="AG96" s="16"/>
      <c r="AH96" s="16"/>
      <c r="AI96" s="16"/>
      <c r="AJ96" s="16"/>
      <c r="AK96" s="16"/>
      <c r="AL96" s="16"/>
      <c r="AM96" s="4">
        <f t="shared" si="57"/>
        <v>0</v>
      </c>
      <c r="AN96" s="4"/>
      <c r="AO96" s="4">
        <f t="shared" si="58"/>
        <v>0</v>
      </c>
      <c r="AP96" s="4">
        <f t="shared" si="59"/>
        <v>0</v>
      </c>
      <c r="AQ96" s="4">
        <v>10680</v>
      </c>
      <c r="AR96" s="4">
        <f t="shared" ref="AR96:AR102" si="102">AQ96</f>
        <v>10680</v>
      </c>
      <c r="AS96" s="4">
        <v>10680</v>
      </c>
      <c r="AT96" s="4">
        <v>10762.5</v>
      </c>
      <c r="AU96" s="4">
        <v>10729.5</v>
      </c>
      <c r="AV96" s="4">
        <v>10730</v>
      </c>
      <c r="AW96" s="4">
        <v>10730</v>
      </c>
      <c r="AX96" s="4">
        <v>10730</v>
      </c>
      <c r="AY96" s="4">
        <f>AX96</f>
        <v>10730</v>
      </c>
      <c r="AZ96" s="4">
        <v>10730</v>
      </c>
      <c r="BA96" s="4">
        <v>10730</v>
      </c>
      <c r="BB96" s="18">
        <v>10730</v>
      </c>
      <c r="BC96" s="4">
        <f t="shared" si="63"/>
        <v>128642</v>
      </c>
      <c r="BD96" s="4"/>
      <c r="BE96" s="4">
        <f t="shared" si="64"/>
        <v>128642</v>
      </c>
      <c r="BF96" s="11"/>
      <c r="BH96" s="11">
        <f t="shared" si="65"/>
        <v>1499011.5699999998</v>
      </c>
    </row>
    <row r="97" spans="1:60" x14ac:dyDescent="0.2">
      <c r="A97" s="23">
        <v>3</v>
      </c>
      <c r="B97" s="23">
        <v>3</v>
      </c>
      <c r="C97" s="3" t="s">
        <v>23</v>
      </c>
      <c r="D97" s="14">
        <v>1336586.07</v>
      </c>
      <c r="E97" s="4">
        <v>0</v>
      </c>
      <c r="F97" s="4">
        <f t="shared" si="52"/>
        <v>0</v>
      </c>
      <c r="G97" s="4">
        <v>956905.63</v>
      </c>
      <c r="H97" s="17"/>
      <c r="I97" s="4">
        <f t="shared" si="53"/>
        <v>2293491.7000000002</v>
      </c>
      <c r="J97" s="4">
        <f t="shared" si="54"/>
        <v>200000</v>
      </c>
      <c r="K97" s="15">
        <f t="shared" si="55"/>
        <v>2093491.7000000002</v>
      </c>
      <c r="L97" s="4">
        <v>200000</v>
      </c>
      <c r="M97" s="18"/>
      <c r="N97" s="18"/>
      <c r="O97" s="18"/>
      <c r="P97" s="18"/>
      <c r="Q97" s="18"/>
      <c r="R97" s="18"/>
      <c r="S97" s="18"/>
      <c r="U97" s="18"/>
      <c r="V97" s="18"/>
      <c r="W97" s="18"/>
      <c r="X97" s="18"/>
      <c r="Y97" s="4">
        <f t="shared" si="101"/>
        <v>0</v>
      </c>
      <c r="Z97" s="4">
        <f t="shared" si="56"/>
        <v>200000</v>
      </c>
      <c r="AA97" s="16"/>
      <c r="AB97" s="16"/>
      <c r="AC97" s="16"/>
      <c r="AD97" s="16"/>
      <c r="AE97" s="16"/>
      <c r="AF97" s="22"/>
      <c r="AG97" s="16"/>
      <c r="AH97" s="16"/>
      <c r="AI97" s="16"/>
      <c r="AJ97" s="16"/>
      <c r="AK97" s="16"/>
      <c r="AL97" s="16"/>
      <c r="AM97" s="4">
        <f t="shared" si="57"/>
        <v>0</v>
      </c>
      <c r="AN97" s="4"/>
      <c r="AO97" s="4">
        <f t="shared" si="58"/>
        <v>0</v>
      </c>
      <c r="AP97" s="4">
        <f t="shared" si="59"/>
        <v>200000</v>
      </c>
      <c r="AQ97" s="4"/>
      <c r="AR97" s="4">
        <f t="shared" si="102"/>
        <v>0</v>
      </c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>
        <f t="shared" si="63"/>
        <v>0</v>
      </c>
      <c r="BD97" s="4"/>
      <c r="BE97" s="4">
        <f t="shared" si="64"/>
        <v>0</v>
      </c>
      <c r="BF97" s="11"/>
      <c r="BH97" s="11">
        <f t="shared" si="65"/>
        <v>1336586.07</v>
      </c>
    </row>
    <row r="98" spans="1:60" x14ac:dyDescent="0.2">
      <c r="A98" s="23">
        <v>7</v>
      </c>
      <c r="B98" s="23">
        <v>7</v>
      </c>
      <c r="C98" s="3" t="s">
        <v>24</v>
      </c>
      <c r="D98" s="14">
        <v>549035.57999999996</v>
      </c>
      <c r="E98" s="4">
        <v>0</v>
      </c>
      <c r="F98" s="4">
        <f t="shared" si="52"/>
        <v>69444</v>
      </c>
      <c r="G98" s="4">
        <v>385718.55</v>
      </c>
      <c r="H98" s="14"/>
      <c r="I98" s="4">
        <f t="shared" si="53"/>
        <v>1004198.1299999999</v>
      </c>
      <c r="J98" s="4">
        <f t="shared" si="54"/>
        <v>0</v>
      </c>
      <c r="K98" s="15">
        <f t="shared" si="55"/>
        <v>1004198.1299999999</v>
      </c>
      <c r="L98" s="4">
        <v>0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4">
        <f t="shared" si="101"/>
        <v>0</v>
      </c>
      <c r="Z98" s="4">
        <f t="shared" si="56"/>
        <v>0</v>
      </c>
      <c r="AA98" s="16"/>
      <c r="AB98" s="16"/>
      <c r="AC98" s="16"/>
      <c r="AD98" s="16"/>
      <c r="AE98" s="16"/>
      <c r="AF98" s="22"/>
      <c r="AG98" s="16"/>
      <c r="AH98" s="16"/>
      <c r="AI98" s="16"/>
      <c r="AJ98" s="16"/>
      <c r="AK98" s="16"/>
      <c r="AL98" s="16"/>
      <c r="AM98" s="4">
        <f t="shared" si="57"/>
        <v>0</v>
      </c>
      <c r="AN98" s="4"/>
      <c r="AO98" s="4">
        <f t="shared" si="58"/>
        <v>0</v>
      </c>
      <c r="AP98" s="4">
        <f t="shared" si="59"/>
        <v>0</v>
      </c>
      <c r="AQ98" s="4">
        <v>5787</v>
      </c>
      <c r="AR98" s="4">
        <f t="shared" si="102"/>
        <v>5787</v>
      </c>
      <c r="AS98" s="4">
        <v>5787</v>
      </c>
      <c r="AT98" s="4">
        <v>5787</v>
      </c>
      <c r="AU98" s="4">
        <v>5787</v>
      </c>
      <c r="AV98" s="4">
        <v>5787</v>
      </c>
      <c r="AW98" s="4">
        <v>5787</v>
      </c>
      <c r="AX98" s="4">
        <v>5787</v>
      </c>
      <c r="AY98" s="4">
        <f>AX98</f>
        <v>5787</v>
      </c>
      <c r="AZ98" s="4">
        <v>5787</v>
      </c>
      <c r="BA98" s="4">
        <v>5787</v>
      </c>
      <c r="BB98" s="18">
        <v>5787</v>
      </c>
      <c r="BC98" s="4">
        <f t="shared" si="63"/>
        <v>69444</v>
      </c>
      <c r="BD98" s="4"/>
      <c r="BE98" s="4">
        <f t="shared" si="64"/>
        <v>69444</v>
      </c>
      <c r="BF98" s="11"/>
      <c r="BH98" s="11">
        <f t="shared" si="65"/>
        <v>618479.57999999996</v>
      </c>
    </row>
    <row r="99" spans="1:60" x14ac:dyDescent="0.2">
      <c r="A99" s="23">
        <v>8</v>
      </c>
      <c r="B99" s="23">
        <v>8</v>
      </c>
      <c r="C99" s="3" t="s">
        <v>25</v>
      </c>
      <c r="D99" s="14">
        <v>634574.13</v>
      </c>
      <c r="E99" s="4">
        <v>0</v>
      </c>
      <c r="F99" s="4">
        <f t="shared" si="52"/>
        <v>76752</v>
      </c>
      <c r="G99" s="4">
        <v>472229.22</v>
      </c>
      <c r="H99" s="14"/>
      <c r="I99" s="4">
        <f t="shared" si="53"/>
        <v>1183555.3500000001</v>
      </c>
      <c r="J99" s="4">
        <f t="shared" si="54"/>
        <v>544000</v>
      </c>
      <c r="K99" s="15">
        <f t="shared" si="55"/>
        <v>639555.35000000009</v>
      </c>
      <c r="L99" s="4">
        <v>736000</v>
      </c>
      <c r="M99" s="18"/>
      <c r="N99" s="18"/>
      <c r="O99" s="18"/>
      <c r="P99" s="18"/>
      <c r="Q99" s="18"/>
      <c r="R99" s="18"/>
      <c r="S99" s="18"/>
      <c r="T99" s="15"/>
      <c r="U99" s="18"/>
      <c r="V99" s="18"/>
      <c r="W99" s="18"/>
      <c r="X99" s="18"/>
      <c r="Y99" s="4">
        <f t="shared" si="101"/>
        <v>0</v>
      </c>
      <c r="Z99" s="4">
        <f t="shared" si="56"/>
        <v>736000</v>
      </c>
      <c r="AA99" s="16">
        <v>16000</v>
      </c>
      <c r="AB99" s="16">
        <v>16000</v>
      </c>
      <c r="AC99" s="16">
        <v>16000</v>
      </c>
      <c r="AD99" s="16">
        <v>16000</v>
      </c>
      <c r="AE99" s="16">
        <v>16000</v>
      </c>
      <c r="AF99" s="22">
        <v>16000</v>
      </c>
      <c r="AG99" s="16">
        <v>16000</v>
      </c>
      <c r="AH99" s="16">
        <v>16000</v>
      </c>
      <c r="AI99" s="16">
        <v>16000</v>
      </c>
      <c r="AJ99" s="16">
        <v>16000</v>
      </c>
      <c r="AK99" s="16">
        <v>16000</v>
      </c>
      <c r="AL99" s="16">
        <v>16000</v>
      </c>
      <c r="AM99" s="4">
        <f t="shared" si="57"/>
        <v>192000</v>
      </c>
      <c r="AN99" s="4"/>
      <c r="AO99" s="4">
        <f t="shared" si="58"/>
        <v>192000</v>
      </c>
      <c r="AP99" s="4">
        <f t="shared" si="59"/>
        <v>544000</v>
      </c>
      <c r="AQ99" s="4">
        <v>6396</v>
      </c>
      <c r="AR99" s="4">
        <f t="shared" si="102"/>
        <v>6396</v>
      </c>
      <c r="AS99" s="4">
        <v>6396</v>
      </c>
      <c r="AT99" s="4">
        <v>6396</v>
      </c>
      <c r="AU99" s="4">
        <v>6396</v>
      </c>
      <c r="AV99" s="4">
        <v>6396</v>
      </c>
      <c r="AW99" s="4">
        <v>6396</v>
      </c>
      <c r="AX99" s="4">
        <v>6396</v>
      </c>
      <c r="AY99" s="4">
        <f>AX99</f>
        <v>6396</v>
      </c>
      <c r="AZ99" s="4">
        <v>6396</v>
      </c>
      <c r="BA99" s="4">
        <v>6396</v>
      </c>
      <c r="BB99" s="18">
        <v>6396</v>
      </c>
      <c r="BC99" s="4">
        <f t="shared" si="63"/>
        <v>76752</v>
      </c>
      <c r="BD99" s="4"/>
      <c r="BE99" s="4">
        <f t="shared" si="64"/>
        <v>76752</v>
      </c>
      <c r="BF99" s="11"/>
      <c r="BH99" s="11">
        <f t="shared" si="65"/>
        <v>711326.13</v>
      </c>
    </row>
    <row r="100" spans="1:60" x14ac:dyDescent="0.2">
      <c r="A100" s="23">
        <v>10</v>
      </c>
      <c r="B100" s="23">
        <v>10</v>
      </c>
      <c r="C100" s="3" t="s">
        <v>64</v>
      </c>
      <c r="D100" s="14">
        <v>608785.5</v>
      </c>
      <c r="E100" s="4">
        <v>0</v>
      </c>
      <c r="F100" s="4">
        <f t="shared" si="52"/>
        <v>26523</v>
      </c>
      <c r="G100" s="4">
        <v>490390.97</v>
      </c>
      <c r="H100" s="14"/>
      <c r="I100" s="4">
        <f t="shared" si="53"/>
        <v>1125699.47</v>
      </c>
      <c r="J100" s="4">
        <f t="shared" si="54"/>
        <v>921890</v>
      </c>
      <c r="K100" s="15">
        <f t="shared" si="55"/>
        <v>203809.46999999997</v>
      </c>
      <c r="L100" s="4">
        <v>656000</v>
      </c>
      <c r="M100" s="18"/>
      <c r="N100" s="18">
        <v>323000</v>
      </c>
      <c r="O100" s="18"/>
      <c r="P100" s="18"/>
      <c r="Q100" s="18"/>
      <c r="R100" s="18"/>
      <c r="S100" s="18">
        <v>175000</v>
      </c>
      <c r="T100" s="18"/>
      <c r="U100" s="18"/>
      <c r="V100" s="18"/>
      <c r="W100" s="18"/>
      <c r="X100" s="18"/>
      <c r="Y100" s="4">
        <f t="shared" si="101"/>
        <v>498000</v>
      </c>
      <c r="Z100" s="4">
        <f t="shared" si="56"/>
        <v>1154000</v>
      </c>
      <c r="AA100" s="16">
        <v>16000</v>
      </c>
      <c r="AB100" s="16">
        <v>16000</v>
      </c>
      <c r="AC100" s="16">
        <v>19000</v>
      </c>
      <c r="AD100" s="16">
        <v>19000</v>
      </c>
      <c r="AE100" s="16">
        <v>19000</v>
      </c>
      <c r="AF100" s="22">
        <v>19000</v>
      </c>
      <c r="AG100" s="16">
        <v>18935</v>
      </c>
      <c r="AH100" s="16">
        <v>18935</v>
      </c>
      <c r="AI100" s="16">
        <v>18935</v>
      </c>
      <c r="AJ100" s="16">
        <v>22435</v>
      </c>
      <c r="AK100" s="16">
        <v>22435</v>
      </c>
      <c r="AL100" s="16">
        <v>22435</v>
      </c>
      <c r="AM100" s="4">
        <f t="shared" si="57"/>
        <v>232110</v>
      </c>
      <c r="AN100" s="4"/>
      <c r="AO100" s="4">
        <f t="shared" si="58"/>
        <v>232110</v>
      </c>
      <c r="AP100" s="4">
        <f t="shared" si="59"/>
        <v>921890</v>
      </c>
      <c r="AQ100" s="4">
        <v>2077.5</v>
      </c>
      <c r="AR100" s="4">
        <f t="shared" si="102"/>
        <v>2077.5</v>
      </c>
      <c r="AS100" s="4">
        <v>2077.5</v>
      </c>
      <c r="AT100" s="4">
        <f>AS100</f>
        <v>2077.5</v>
      </c>
      <c r="AU100" s="4">
        <v>2077.5</v>
      </c>
      <c r="AV100" s="4">
        <v>2077.5</v>
      </c>
      <c r="AW100" s="4">
        <v>2078</v>
      </c>
      <c r="AX100" s="4">
        <v>2078</v>
      </c>
      <c r="AY100" s="4">
        <f>AX100</f>
        <v>2078</v>
      </c>
      <c r="AZ100" s="4">
        <v>2608</v>
      </c>
      <c r="BA100" s="4">
        <v>2608</v>
      </c>
      <c r="BB100" s="18">
        <v>2608</v>
      </c>
      <c r="BC100" s="4">
        <f t="shared" si="63"/>
        <v>26523</v>
      </c>
      <c r="BD100" s="4"/>
      <c r="BE100" s="4">
        <f t="shared" si="64"/>
        <v>26523</v>
      </c>
      <c r="BF100" s="11"/>
      <c r="BH100" s="11">
        <f t="shared" si="65"/>
        <v>635308.5</v>
      </c>
    </row>
    <row r="101" spans="1:60" x14ac:dyDescent="0.2">
      <c r="A101" s="23">
        <v>107</v>
      </c>
      <c r="B101" s="23">
        <v>107</v>
      </c>
      <c r="C101" s="3" t="s">
        <v>26</v>
      </c>
      <c r="D101" s="14">
        <v>246493.61</v>
      </c>
      <c r="E101" s="4">
        <v>0</v>
      </c>
      <c r="F101" s="4">
        <f t="shared" si="52"/>
        <v>29844</v>
      </c>
      <c r="G101" s="4">
        <v>75887.91</v>
      </c>
      <c r="H101" s="3"/>
      <c r="I101" s="4">
        <f t="shared" si="53"/>
        <v>352225.52</v>
      </c>
      <c r="J101" s="4">
        <f t="shared" si="54"/>
        <v>165460</v>
      </c>
      <c r="K101" s="15">
        <f t="shared" si="55"/>
        <v>186765.52000000002</v>
      </c>
      <c r="L101" s="4">
        <v>136004</v>
      </c>
      <c r="M101" s="18"/>
      <c r="N101" s="19"/>
      <c r="O101" s="19"/>
      <c r="P101" s="15"/>
      <c r="Q101" s="15"/>
      <c r="R101" s="15">
        <v>30000</v>
      </c>
      <c r="S101" s="15"/>
      <c r="T101" s="3"/>
      <c r="U101" s="15"/>
      <c r="V101" s="15"/>
      <c r="W101" s="15"/>
      <c r="X101" s="18">
        <v>40000</v>
      </c>
      <c r="Y101" s="4">
        <f>SUM(M101:X101)</f>
        <v>70000</v>
      </c>
      <c r="Z101" s="4">
        <f t="shared" si="56"/>
        <v>206004</v>
      </c>
      <c r="AA101" s="4">
        <v>3160</v>
      </c>
      <c r="AB101" s="4">
        <v>3160</v>
      </c>
      <c r="AC101" s="4">
        <v>3160</v>
      </c>
      <c r="AD101" s="4">
        <v>3160</v>
      </c>
      <c r="AE101" s="4">
        <v>3160</v>
      </c>
      <c r="AF101" s="15">
        <v>3160</v>
      </c>
      <c r="AG101" s="4">
        <v>3164</v>
      </c>
      <c r="AH101" s="4">
        <v>3164</v>
      </c>
      <c r="AI101" s="4">
        <v>3164</v>
      </c>
      <c r="AJ101" s="4">
        <v>3764</v>
      </c>
      <c r="AK101" s="4">
        <v>3764</v>
      </c>
      <c r="AL101" s="4">
        <v>4564</v>
      </c>
      <c r="AM101" s="4">
        <f t="shared" si="57"/>
        <v>40544</v>
      </c>
      <c r="AN101" s="4"/>
      <c r="AO101" s="4">
        <f t="shared" si="58"/>
        <v>40544</v>
      </c>
      <c r="AP101" s="4">
        <f t="shared" si="59"/>
        <v>165460</v>
      </c>
      <c r="AQ101" s="4">
        <v>2487</v>
      </c>
      <c r="AR101" s="4">
        <f t="shared" si="102"/>
        <v>2487</v>
      </c>
      <c r="AS101" s="4">
        <f t="shared" ref="AS101:AS102" si="103">AR101</f>
        <v>2487</v>
      </c>
      <c r="AT101" s="4">
        <f t="shared" ref="AT101:AT102" si="104">AS101</f>
        <v>2487</v>
      </c>
      <c r="AU101" s="4">
        <v>2487</v>
      </c>
      <c r="AV101" s="4">
        <v>2487</v>
      </c>
      <c r="AW101" s="4">
        <v>2487</v>
      </c>
      <c r="AX101" s="4">
        <v>2487</v>
      </c>
      <c r="AY101" s="4">
        <f t="shared" ref="AY101:AY102" si="105">AX101</f>
        <v>2487</v>
      </c>
      <c r="AZ101" s="4">
        <v>2487</v>
      </c>
      <c r="BA101" s="4">
        <v>2487</v>
      </c>
      <c r="BB101" s="18">
        <v>2487</v>
      </c>
      <c r="BC101" s="4">
        <f t="shared" si="63"/>
        <v>29844</v>
      </c>
      <c r="BD101" s="4"/>
      <c r="BE101" s="4">
        <f t="shared" si="64"/>
        <v>29844</v>
      </c>
      <c r="BF101" s="11"/>
      <c r="BH101" s="11">
        <f t="shared" si="65"/>
        <v>276337.61</v>
      </c>
    </row>
    <row r="102" spans="1:60" x14ac:dyDescent="0.2">
      <c r="A102" s="23">
        <v>108</v>
      </c>
      <c r="B102" s="23">
        <v>108</v>
      </c>
      <c r="C102" s="3" t="s">
        <v>27</v>
      </c>
      <c r="D102" s="14">
        <v>30684</v>
      </c>
      <c r="E102" s="4">
        <v>0</v>
      </c>
      <c r="F102" s="4">
        <f t="shared" ref="F102:F118" si="106">BE102</f>
        <v>16512</v>
      </c>
      <c r="G102" s="4">
        <v>10541.79</v>
      </c>
      <c r="H102" s="3"/>
      <c r="I102" s="4">
        <f t="shared" ref="I102:I118" si="107">D102+E102+F102+G102+H102</f>
        <v>57737.79</v>
      </c>
      <c r="J102" s="4">
        <f t="shared" ref="J102:J118" si="108">AP102</f>
        <v>0</v>
      </c>
      <c r="K102" s="15">
        <f t="shared" ref="K102:K118" si="109">SUM(I102-J102)</f>
        <v>57737.79</v>
      </c>
      <c r="L102" s="3">
        <v>0</v>
      </c>
      <c r="M102" s="18"/>
      <c r="N102" s="19"/>
      <c r="O102" s="19"/>
      <c r="P102" s="15"/>
      <c r="Q102" s="15"/>
      <c r="R102" s="15"/>
      <c r="S102" s="15"/>
      <c r="T102" s="3"/>
      <c r="U102" s="15"/>
      <c r="V102" s="15"/>
      <c r="W102" s="15"/>
      <c r="X102" s="18"/>
      <c r="Y102" s="4">
        <f>SUM(M102:X102)</f>
        <v>0</v>
      </c>
      <c r="Z102" s="4">
        <f t="shared" ref="Z102:Z118" si="110">SUM(L102,Y102)</f>
        <v>0</v>
      </c>
      <c r="AA102" s="4"/>
      <c r="AB102" s="4"/>
      <c r="AC102" s="4"/>
      <c r="AD102" s="4"/>
      <c r="AE102" s="4"/>
      <c r="AF102" s="15"/>
      <c r="AG102" s="4"/>
      <c r="AH102" s="4"/>
      <c r="AI102" s="4"/>
      <c r="AJ102" s="4"/>
      <c r="AK102" s="4"/>
      <c r="AL102" s="4"/>
      <c r="AM102" s="4">
        <f t="shared" ref="AM102:AM118" si="111">AA102+AB102+AC102+AD102+AE102+AF102+AG102+AH102+AI102+AJ102+AK102+AL102</f>
        <v>0</v>
      </c>
      <c r="AN102" s="4"/>
      <c r="AO102" s="4">
        <f t="shared" ref="AO102:AO118" si="112">AM102+AN102</f>
        <v>0</v>
      </c>
      <c r="AP102" s="4">
        <f t="shared" ref="AP102:AP118" si="113">Z102-AO102</f>
        <v>0</v>
      </c>
      <c r="AQ102" s="4">
        <v>1376</v>
      </c>
      <c r="AR102" s="4">
        <f t="shared" si="102"/>
        <v>1376</v>
      </c>
      <c r="AS102" s="4">
        <f t="shared" si="103"/>
        <v>1376</v>
      </c>
      <c r="AT102" s="4">
        <f t="shared" si="104"/>
        <v>1376</v>
      </c>
      <c r="AU102" s="4">
        <v>1376</v>
      </c>
      <c r="AV102" s="4">
        <v>1376</v>
      </c>
      <c r="AW102" s="4">
        <v>1376</v>
      </c>
      <c r="AX102" s="4">
        <v>1376</v>
      </c>
      <c r="AY102" s="4">
        <f t="shared" si="105"/>
        <v>1376</v>
      </c>
      <c r="AZ102" s="4">
        <v>1376</v>
      </c>
      <c r="BA102" s="4">
        <v>1376</v>
      </c>
      <c r="BB102" s="18">
        <v>1376</v>
      </c>
      <c r="BC102" s="4">
        <f t="shared" ref="BC102:BC118" si="114">SUM(AQ102:BB102)</f>
        <v>16512</v>
      </c>
      <c r="BD102" s="4"/>
      <c r="BE102" s="4">
        <f t="shared" ref="BE102:BE118" si="115">BC102+BD102</f>
        <v>16512</v>
      </c>
      <c r="BF102" s="11"/>
      <c r="BH102" s="11">
        <f t="shared" ref="BH102:BH118" si="116">D102+F102</f>
        <v>47196</v>
      </c>
    </row>
    <row r="103" spans="1:60" x14ac:dyDescent="0.2">
      <c r="A103" s="23">
        <v>1</v>
      </c>
      <c r="B103" s="23">
        <v>1</v>
      </c>
      <c r="C103" s="3" t="s">
        <v>21</v>
      </c>
      <c r="D103" s="14">
        <v>1322069.1499999999</v>
      </c>
      <c r="E103" s="4">
        <v>0</v>
      </c>
      <c r="F103" s="4">
        <f t="shared" si="106"/>
        <v>128642</v>
      </c>
      <c r="G103" s="4">
        <v>1291167.3999999999</v>
      </c>
      <c r="H103" s="14"/>
      <c r="I103" s="4">
        <f t="shared" si="107"/>
        <v>2741878.55</v>
      </c>
      <c r="J103" s="4">
        <f t="shared" si="108"/>
        <v>0</v>
      </c>
      <c r="K103" s="15">
        <f t="shared" si="109"/>
        <v>2741878.55</v>
      </c>
      <c r="L103" s="4">
        <v>90000</v>
      </c>
      <c r="M103" s="18">
        <v>0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4">
        <f t="shared" ref="Y103:Y108" si="117">SUM(M103:X103)</f>
        <v>0</v>
      </c>
      <c r="Z103" s="4">
        <f t="shared" si="110"/>
        <v>90000</v>
      </c>
      <c r="AA103" s="16">
        <v>10000</v>
      </c>
      <c r="AB103" s="16">
        <v>10000</v>
      </c>
      <c r="AC103" s="16">
        <v>10000</v>
      </c>
      <c r="AD103" s="16">
        <v>10000</v>
      </c>
      <c r="AE103" s="16">
        <v>10000</v>
      </c>
      <c r="AF103" s="22">
        <v>10000</v>
      </c>
      <c r="AG103" s="16">
        <v>10000</v>
      </c>
      <c r="AH103" s="16">
        <v>10000</v>
      </c>
      <c r="AI103" s="16">
        <v>10000</v>
      </c>
      <c r="AJ103" s="16"/>
      <c r="AK103" s="16"/>
      <c r="AL103" s="16"/>
      <c r="AM103" s="4">
        <f t="shared" si="111"/>
        <v>90000</v>
      </c>
      <c r="AN103" s="4"/>
      <c r="AO103" s="4">
        <f t="shared" si="112"/>
        <v>90000</v>
      </c>
      <c r="AP103" s="4">
        <f t="shared" si="113"/>
        <v>0</v>
      </c>
      <c r="AQ103" s="4">
        <v>10680</v>
      </c>
      <c r="AR103" s="4">
        <f>AQ103</f>
        <v>10680</v>
      </c>
      <c r="AS103" s="4">
        <v>10680</v>
      </c>
      <c r="AT103" s="4">
        <v>10762.5</v>
      </c>
      <c r="AU103" s="4">
        <v>10729.5</v>
      </c>
      <c r="AV103" s="4">
        <v>10730</v>
      </c>
      <c r="AW103" s="4">
        <v>10730</v>
      </c>
      <c r="AX103" s="4">
        <v>10730</v>
      </c>
      <c r="AY103" s="4">
        <f>AX103</f>
        <v>10730</v>
      </c>
      <c r="AZ103" s="4">
        <v>10730</v>
      </c>
      <c r="BA103" s="4">
        <v>10730</v>
      </c>
      <c r="BB103" s="18">
        <v>10730</v>
      </c>
      <c r="BC103" s="4">
        <f t="shared" si="114"/>
        <v>128642</v>
      </c>
      <c r="BD103" s="4"/>
      <c r="BE103" s="4">
        <f t="shared" si="115"/>
        <v>128642</v>
      </c>
      <c r="BF103" s="11"/>
      <c r="BH103" s="11">
        <f t="shared" si="116"/>
        <v>1450711.15</v>
      </c>
    </row>
    <row r="104" spans="1:60" x14ac:dyDescent="0.2">
      <c r="A104" s="23">
        <v>2</v>
      </c>
      <c r="B104" s="23">
        <v>2</v>
      </c>
      <c r="C104" s="24" t="s">
        <v>22</v>
      </c>
      <c r="D104" s="14">
        <v>1370369.5699999998</v>
      </c>
      <c r="E104" s="4">
        <v>0</v>
      </c>
      <c r="F104" s="4">
        <f t="shared" si="106"/>
        <v>128642</v>
      </c>
      <c r="G104" s="4">
        <v>1497672.47</v>
      </c>
      <c r="H104" s="14"/>
      <c r="I104" s="4">
        <f t="shared" si="107"/>
        <v>2996684.04</v>
      </c>
      <c r="J104" s="4">
        <f t="shared" si="108"/>
        <v>0</v>
      </c>
      <c r="K104" s="15">
        <f t="shared" si="109"/>
        <v>2996684.04</v>
      </c>
      <c r="L104" s="4">
        <v>0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4">
        <f t="shared" si="117"/>
        <v>0</v>
      </c>
      <c r="Z104" s="4">
        <f t="shared" si="110"/>
        <v>0</v>
      </c>
      <c r="AA104" s="16"/>
      <c r="AB104" s="16"/>
      <c r="AC104" s="16"/>
      <c r="AD104" s="16"/>
      <c r="AE104" s="16"/>
      <c r="AF104" s="22"/>
      <c r="AG104" s="16"/>
      <c r="AH104" s="16"/>
      <c r="AI104" s="16"/>
      <c r="AJ104" s="16"/>
      <c r="AK104" s="16"/>
      <c r="AL104" s="16"/>
      <c r="AM104" s="4">
        <f t="shared" si="111"/>
        <v>0</v>
      </c>
      <c r="AN104" s="4"/>
      <c r="AO104" s="4">
        <f t="shared" si="112"/>
        <v>0</v>
      </c>
      <c r="AP104" s="4">
        <f t="shared" si="113"/>
        <v>0</v>
      </c>
      <c r="AQ104" s="4">
        <v>10680</v>
      </c>
      <c r="AR104" s="4">
        <f t="shared" ref="AR104:AR110" si="118">AQ104</f>
        <v>10680</v>
      </c>
      <c r="AS104" s="4">
        <v>10680</v>
      </c>
      <c r="AT104" s="4">
        <v>10762.5</v>
      </c>
      <c r="AU104" s="4">
        <v>10729.5</v>
      </c>
      <c r="AV104" s="4">
        <v>10730</v>
      </c>
      <c r="AW104" s="4">
        <v>10730</v>
      </c>
      <c r="AX104" s="4">
        <v>10730</v>
      </c>
      <c r="AY104" s="4">
        <f>AX104</f>
        <v>10730</v>
      </c>
      <c r="AZ104" s="4">
        <v>10730</v>
      </c>
      <c r="BA104" s="4">
        <v>10730</v>
      </c>
      <c r="BB104" s="18">
        <v>10730</v>
      </c>
      <c r="BC104" s="4">
        <f t="shared" si="114"/>
        <v>128642</v>
      </c>
      <c r="BD104" s="4"/>
      <c r="BE104" s="4">
        <f t="shared" si="115"/>
        <v>128642</v>
      </c>
      <c r="BF104" s="11"/>
      <c r="BH104" s="11">
        <f t="shared" si="116"/>
        <v>1499011.5699999998</v>
      </c>
    </row>
    <row r="105" spans="1:60" x14ac:dyDescent="0.2">
      <c r="A105" s="23">
        <v>3</v>
      </c>
      <c r="B105" s="23">
        <v>3</v>
      </c>
      <c r="C105" s="3" t="s">
        <v>23</v>
      </c>
      <c r="D105" s="14">
        <v>1336586.07</v>
      </c>
      <c r="E105" s="4">
        <v>0</v>
      </c>
      <c r="F105" s="4">
        <f t="shared" si="106"/>
        <v>0</v>
      </c>
      <c r="G105" s="4">
        <v>956905.63</v>
      </c>
      <c r="H105" s="17"/>
      <c r="I105" s="4">
        <f t="shared" si="107"/>
        <v>2293491.7000000002</v>
      </c>
      <c r="J105" s="4">
        <f t="shared" si="108"/>
        <v>200000</v>
      </c>
      <c r="K105" s="15">
        <f t="shared" si="109"/>
        <v>2093491.7000000002</v>
      </c>
      <c r="L105" s="4">
        <v>200000</v>
      </c>
      <c r="M105" s="18"/>
      <c r="N105" s="18"/>
      <c r="O105" s="18"/>
      <c r="P105" s="18"/>
      <c r="Q105" s="18"/>
      <c r="R105" s="18"/>
      <c r="S105" s="18"/>
      <c r="U105" s="18"/>
      <c r="V105" s="18"/>
      <c r="W105" s="18"/>
      <c r="X105" s="18"/>
      <c r="Y105" s="4">
        <f t="shared" si="117"/>
        <v>0</v>
      </c>
      <c r="Z105" s="4">
        <f t="shared" si="110"/>
        <v>200000</v>
      </c>
      <c r="AA105" s="16"/>
      <c r="AB105" s="16"/>
      <c r="AC105" s="16"/>
      <c r="AD105" s="16"/>
      <c r="AE105" s="16"/>
      <c r="AF105" s="22"/>
      <c r="AG105" s="16"/>
      <c r="AH105" s="16"/>
      <c r="AI105" s="16"/>
      <c r="AJ105" s="16"/>
      <c r="AK105" s="16"/>
      <c r="AL105" s="16"/>
      <c r="AM105" s="4">
        <f t="shared" si="111"/>
        <v>0</v>
      </c>
      <c r="AN105" s="4"/>
      <c r="AO105" s="4">
        <f t="shared" si="112"/>
        <v>0</v>
      </c>
      <c r="AP105" s="4">
        <f t="shared" si="113"/>
        <v>200000</v>
      </c>
      <c r="AQ105" s="4"/>
      <c r="AR105" s="4">
        <f t="shared" si="118"/>
        <v>0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>
        <f t="shared" si="114"/>
        <v>0</v>
      </c>
      <c r="BD105" s="4"/>
      <c r="BE105" s="4">
        <f t="shared" si="115"/>
        <v>0</v>
      </c>
      <c r="BF105" s="11"/>
      <c r="BH105" s="11">
        <f t="shared" si="116"/>
        <v>1336586.07</v>
      </c>
    </row>
    <row r="106" spans="1:60" x14ac:dyDescent="0.2">
      <c r="A106" s="23">
        <v>7</v>
      </c>
      <c r="B106" s="23">
        <v>7</v>
      </c>
      <c r="C106" s="3" t="s">
        <v>24</v>
      </c>
      <c r="D106" s="14">
        <v>549035.57999999996</v>
      </c>
      <c r="E106" s="4">
        <v>0</v>
      </c>
      <c r="F106" s="4">
        <f t="shared" si="106"/>
        <v>69444</v>
      </c>
      <c r="G106" s="4">
        <v>385718.55</v>
      </c>
      <c r="H106" s="14"/>
      <c r="I106" s="4">
        <f t="shared" si="107"/>
        <v>1004198.1299999999</v>
      </c>
      <c r="J106" s="4">
        <f t="shared" si="108"/>
        <v>0</v>
      </c>
      <c r="K106" s="15">
        <f t="shared" si="109"/>
        <v>1004198.1299999999</v>
      </c>
      <c r="L106" s="4">
        <v>0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4">
        <f t="shared" si="117"/>
        <v>0</v>
      </c>
      <c r="Z106" s="4">
        <f t="shared" si="110"/>
        <v>0</v>
      </c>
      <c r="AA106" s="16"/>
      <c r="AB106" s="16"/>
      <c r="AC106" s="16"/>
      <c r="AD106" s="16"/>
      <c r="AE106" s="16"/>
      <c r="AF106" s="22"/>
      <c r="AG106" s="16"/>
      <c r="AH106" s="16"/>
      <c r="AI106" s="16"/>
      <c r="AJ106" s="16"/>
      <c r="AK106" s="16"/>
      <c r="AL106" s="16"/>
      <c r="AM106" s="4">
        <f t="shared" si="111"/>
        <v>0</v>
      </c>
      <c r="AN106" s="4"/>
      <c r="AO106" s="4">
        <f t="shared" si="112"/>
        <v>0</v>
      </c>
      <c r="AP106" s="4">
        <f t="shared" si="113"/>
        <v>0</v>
      </c>
      <c r="AQ106" s="4">
        <v>5787</v>
      </c>
      <c r="AR106" s="4">
        <f t="shared" si="118"/>
        <v>5787</v>
      </c>
      <c r="AS106" s="4">
        <v>5787</v>
      </c>
      <c r="AT106" s="4">
        <v>5787</v>
      </c>
      <c r="AU106" s="4">
        <v>5787</v>
      </c>
      <c r="AV106" s="4">
        <v>5787</v>
      </c>
      <c r="AW106" s="4">
        <v>5787</v>
      </c>
      <c r="AX106" s="4">
        <v>5787</v>
      </c>
      <c r="AY106" s="4">
        <f>AX106</f>
        <v>5787</v>
      </c>
      <c r="AZ106" s="4">
        <v>5787</v>
      </c>
      <c r="BA106" s="4">
        <v>5787</v>
      </c>
      <c r="BB106" s="18">
        <v>5787</v>
      </c>
      <c r="BC106" s="4">
        <f t="shared" si="114"/>
        <v>69444</v>
      </c>
      <c r="BD106" s="4"/>
      <c r="BE106" s="4">
        <f t="shared" si="115"/>
        <v>69444</v>
      </c>
      <c r="BF106" s="11"/>
      <c r="BH106" s="11">
        <f t="shared" si="116"/>
        <v>618479.57999999996</v>
      </c>
    </row>
    <row r="107" spans="1:60" x14ac:dyDescent="0.2">
      <c r="A107" s="23">
        <v>8</v>
      </c>
      <c r="B107" s="23">
        <v>8</v>
      </c>
      <c r="C107" s="3" t="s">
        <v>25</v>
      </c>
      <c r="D107" s="14">
        <v>634574.13</v>
      </c>
      <c r="E107" s="4">
        <v>0</v>
      </c>
      <c r="F107" s="4">
        <f t="shared" si="106"/>
        <v>76752</v>
      </c>
      <c r="G107" s="4">
        <v>472229.22</v>
      </c>
      <c r="H107" s="14"/>
      <c r="I107" s="4">
        <f t="shared" si="107"/>
        <v>1183555.3500000001</v>
      </c>
      <c r="J107" s="4">
        <f t="shared" si="108"/>
        <v>544000</v>
      </c>
      <c r="K107" s="15">
        <f t="shared" si="109"/>
        <v>639555.35000000009</v>
      </c>
      <c r="L107" s="4">
        <v>736000</v>
      </c>
      <c r="M107" s="18"/>
      <c r="N107" s="18"/>
      <c r="O107" s="18"/>
      <c r="P107" s="18"/>
      <c r="Q107" s="18"/>
      <c r="R107" s="18"/>
      <c r="S107" s="18"/>
      <c r="T107" s="15"/>
      <c r="U107" s="18"/>
      <c r="V107" s="18"/>
      <c r="W107" s="18"/>
      <c r="X107" s="18"/>
      <c r="Y107" s="4">
        <f t="shared" si="117"/>
        <v>0</v>
      </c>
      <c r="Z107" s="4">
        <f t="shared" si="110"/>
        <v>736000</v>
      </c>
      <c r="AA107" s="16">
        <v>16000</v>
      </c>
      <c r="AB107" s="16">
        <v>16000</v>
      </c>
      <c r="AC107" s="16">
        <v>16000</v>
      </c>
      <c r="AD107" s="16">
        <v>16000</v>
      </c>
      <c r="AE107" s="16">
        <v>16000</v>
      </c>
      <c r="AF107" s="22">
        <v>16000</v>
      </c>
      <c r="AG107" s="16">
        <v>16000</v>
      </c>
      <c r="AH107" s="16">
        <v>16000</v>
      </c>
      <c r="AI107" s="16">
        <v>16000</v>
      </c>
      <c r="AJ107" s="16">
        <v>16000</v>
      </c>
      <c r="AK107" s="16">
        <v>16000</v>
      </c>
      <c r="AL107" s="16">
        <v>16000</v>
      </c>
      <c r="AM107" s="4">
        <f t="shared" si="111"/>
        <v>192000</v>
      </c>
      <c r="AN107" s="4"/>
      <c r="AO107" s="4">
        <f t="shared" si="112"/>
        <v>192000</v>
      </c>
      <c r="AP107" s="4">
        <f t="shared" si="113"/>
        <v>544000</v>
      </c>
      <c r="AQ107" s="4">
        <v>6396</v>
      </c>
      <c r="AR107" s="4">
        <f t="shared" si="118"/>
        <v>6396</v>
      </c>
      <c r="AS107" s="4">
        <v>6396</v>
      </c>
      <c r="AT107" s="4">
        <v>6396</v>
      </c>
      <c r="AU107" s="4">
        <v>6396</v>
      </c>
      <c r="AV107" s="4">
        <v>6396</v>
      </c>
      <c r="AW107" s="4">
        <v>6396</v>
      </c>
      <c r="AX107" s="4">
        <v>6396</v>
      </c>
      <c r="AY107" s="4">
        <f>AX107</f>
        <v>6396</v>
      </c>
      <c r="AZ107" s="4">
        <v>6396</v>
      </c>
      <c r="BA107" s="4">
        <v>6396</v>
      </c>
      <c r="BB107" s="18">
        <v>6396</v>
      </c>
      <c r="BC107" s="4">
        <f t="shared" si="114"/>
        <v>76752</v>
      </c>
      <c r="BD107" s="4"/>
      <c r="BE107" s="4">
        <f t="shared" si="115"/>
        <v>76752</v>
      </c>
      <c r="BF107" s="11"/>
      <c r="BH107" s="11">
        <f t="shared" si="116"/>
        <v>711326.13</v>
      </c>
    </row>
    <row r="108" spans="1:60" x14ac:dyDescent="0.2">
      <c r="A108" s="23">
        <v>10</v>
      </c>
      <c r="B108" s="23">
        <v>10</v>
      </c>
      <c r="C108" s="3" t="s">
        <v>64</v>
      </c>
      <c r="D108" s="14">
        <v>608785.5</v>
      </c>
      <c r="E108" s="4">
        <v>0</v>
      </c>
      <c r="F108" s="4">
        <f t="shared" si="106"/>
        <v>26523</v>
      </c>
      <c r="G108" s="4">
        <v>490390.97</v>
      </c>
      <c r="H108" s="14"/>
      <c r="I108" s="4">
        <f t="shared" si="107"/>
        <v>1125699.47</v>
      </c>
      <c r="J108" s="4">
        <f t="shared" si="108"/>
        <v>921890</v>
      </c>
      <c r="K108" s="15">
        <f t="shared" si="109"/>
        <v>203809.46999999997</v>
      </c>
      <c r="L108" s="4">
        <v>656000</v>
      </c>
      <c r="M108" s="18"/>
      <c r="N108" s="18">
        <v>323000</v>
      </c>
      <c r="O108" s="18"/>
      <c r="P108" s="18"/>
      <c r="Q108" s="18"/>
      <c r="R108" s="18"/>
      <c r="S108" s="18">
        <v>175000</v>
      </c>
      <c r="T108" s="18"/>
      <c r="U108" s="18"/>
      <c r="V108" s="18"/>
      <c r="W108" s="18"/>
      <c r="X108" s="18"/>
      <c r="Y108" s="4">
        <f t="shared" si="117"/>
        <v>498000</v>
      </c>
      <c r="Z108" s="4">
        <f t="shared" si="110"/>
        <v>1154000</v>
      </c>
      <c r="AA108" s="16">
        <v>16000</v>
      </c>
      <c r="AB108" s="16">
        <v>16000</v>
      </c>
      <c r="AC108" s="16">
        <v>19000</v>
      </c>
      <c r="AD108" s="16">
        <v>19000</v>
      </c>
      <c r="AE108" s="16">
        <v>19000</v>
      </c>
      <c r="AF108" s="22">
        <v>19000</v>
      </c>
      <c r="AG108" s="16">
        <v>18935</v>
      </c>
      <c r="AH108" s="16">
        <v>18935</v>
      </c>
      <c r="AI108" s="16">
        <v>18935</v>
      </c>
      <c r="AJ108" s="16">
        <v>22435</v>
      </c>
      <c r="AK108" s="16">
        <v>22435</v>
      </c>
      <c r="AL108" s="16">
        <v>22435</v>
      </c>
      <c r="AM108" s="4">
        <f t="shared" si="111"/>
        <v>232110</v>
      </c>
      <c r="AN108" s="4"/>
      <c r="AO108" s="4">
        <f t="shared" si="112"/>
        <v>232110</v>
      </c>
      <c r="AP108" s="4">
        <f t="shared" si="113"/>
        <v>921890</v>
      </c>
      <c r="AQ108" s="4">
        <v>2077.5</v>
      </c>
      <c r="AR108" s="4">
        <f t="shared" si="118"/>
        <v>2077.5</v>
      </c>
      <c r="AS108" s="4">
        <v>2077.5</v>
      </c>
      <c r="AT108" s="4">
        <f>AS108</f>
        <v>2077.5</v>
      </c>
      <c r="AU108" s="4">
        <v>2077.5</v>
      </c>
      <c r="AV108" s="4">
        <v>2077.5</v>
      </c>
      <c r="AW108" s="4">
        <v>2078</v>
      </c>
      <c r="AX108" s="4">
        <v>2078</v>
      </c>
      <c r="AY108" s="4">
        <f>AX108</f>
        <v>2078</v>
      </c>
      <c r="AZ108" s="4">
        <v>2608</v>
      </c>
      <c r="BA108" s="4">
        <v>2608</v>
      </c>
      <c r="BB108" s="18">
        <v>2608</v>
      </c>
      <c r="BC108" s="4">
        <f t="shared" si="114"/>
        <v>26523</v>
      </c>
      <c r="BD108" s="4"/>
      <c r="BE108" s="4">
        <f t="shared" si="115"/>
        <v>26523</v>
      </c>
      <c r="BF108" s="11"/>
      <c r="BH108" s="11">
        <f t="shared" si="116"/>
        <v>635308.5</v>
      </c>
    </row>
    <row r="109" spans="1:60" x14ac:dyDescent="0.2">
      <c r="A109" s="23">
        <v>107</v>
      </c>
      <c r="B109" s="23">
        <v>107</v>
      </c>
      <c r="C109" s="3" t="s">
        <v>26</v>
      </c>
      <c r="D109" s="14">
        <v>246493.61</v>
      </c>
      <c r="E109" s="4">
        <v>0</v>
      </c>
      <c r="F109" s="4">
        <f t="shared" si="106"/>
        <v>29844</v>
      </c>
      <c r="G109" s="4">
        <v>75887.91</v>
      </c>
      <c r="H109" s="3"/>
      <c r="I109" s="4">
        <f t="shared" si="107"/>
        <v>352225.52</v>
      </c>
      <c r="J109" s="4">
        <f t="shared" si="108"/>
        <v>165460</v>
      </c>
      <c r="K109" s="15">
        <f t="shared" si="109"/>
        <v>186765.52000000002</v>
      </c>
      <c r="L109" s="4">
        <v>136004</v>
      </c>
      <c r="M109" s="18"/>
      <c r="N109" s="19"/>
      <c r="O109" s="19"/>
      <c r="P109" s="15"/>
      <c r="Q109" s="15"/>
      <c r="R109" s="15">
        <v>30000</v>
      </c>
      <c r="S109" s="15"/>
      <c r="T109" s="3"/>
      <c r="U109" s="15"/>
      <c r="V109" s="15"/>
      <c r="W109" s="15"/>
      <c r="X109" s="18">
        <v>40000</v>
      </c>
      <c r="Y109" s="4">
        <f>SUM(M109:X109)</f>
        <v>70000</v>
      </c>
      <c r="Z109" s="4">
        <f t="shared" si="110"/>
        <v>206004</v>
      </c>
      <c r="AA109" s="4">
        <v>3160</v>
      </c>
      <c r="AB109" s="4">
        <v>3160</v>
      </c>
      <c r="AC109" s="4">
        <v>3160</v>
      </c>
      <c r="AD109" s="4">
        <v>3160</v>
      </c>
      <c r="AE109" s="4">
        <v>3160</v>
      </c>
      <c r="AF109" s="15">
        <v>3160</v>
      </c>
      <c r="AG109" s="4">
        <v>3164</v>
      </c>
      <c r="AH109" s="4">
        <v>3164</v>
      </c>
      <c r="AI109" s="4">
        <v>3164</v>
      </c>
      <c r="AJ109" s="4">
        <v>3764</v>
      </c>
      <c r="AK109" s="4">
        <v>3764</v>
      </c>
      <c r="AL109" s="4">
        <v>4564</v>
      </c>
      <c r="AM109" s="4">
        <f t="shared" si="111"/>
        <v>40544</v>
      </c>
      <c r="AN109" s="4"/>
      <c r="AO109" s="4">
        <f t="shared" si="112"/>
        <v>40544</v>
      </c>
      <c r="AP109" s="4">
        <f t="shared" si="113"/>
        <v>165460</v>
      </c>
      <c r="AQ109" s="4">
        <v>2487</v>
      </c>
      <c r="AR109" s="4">
        <f t="shared" si="118"/>
        <v>2487</v>
      </c>
      <c r="AS109" s="4">
        <f t="shared" ref="AS109:AS110" si="119">AR109</f>
        <v>2487</v>
      </c>
      <c r="AT109" s="4">
        <f t="shared" ref="AT109:AT110" si="120">AS109</f>
        <v>2487</v>
      </c>
      <c r="AU109" s="4">
        <v>2487</v>
      </c>
      <c r="AV109" s="4">
        <v>2487</v>
      </c>
      <c r="AW109" s="4">
        <v>2487</v>
      </c>
      <c r="AX109" s="4">
        <v>2487</v>
      </c>
      <c r="AY109" s="4">
        <f t="shared" ref="AY109:AY110" si="121">AX109</f>
        <v>2487</v>
      </c>
      <c r="AZ109" s="4">
        <v>2487</v>
      </c>
      <c r="BA109" s="4">
        <v>2487</v>
      </c>
      <c r="BB109" s="18">
        <v>2487</v>
      </c>
      <c r="BC109" s="4">
        <f t="shared" si="114"/>
        <v>29844</v>
      </c>
      <c r="BD109" s="4"/>
      <c r="BE109" s="4">
        <f t="shared" si="115"/>
        <v>29844</v>
      </c>
      <c r="BF109" s="11"/>
      <c r="BH109" s="11">
        <f t="shared" si="116"/>
        <v>276337.61</v>
      </c>
    </row>
    <row r="110" spans="1:60" x14ac:dyDescent="0.2">
      <c r="A110" s="23">
        <v>108</v>
      </c>
      <c r="B110" s="23">
        <v>108</v>
      </c>
      <c r="C110" s="3" t="s">
        <v>27</v>
      </c>
      <c r="D110" s="14">
        <v>30684</v>
      </c>
      <c r="E110" s="4">
        <v>0</v>
      </c>
      <c r="F110" s="4">
        <f t="shared" si="106"/>
        <v>16512</v>
      </c>
      <c r="G110" s="4">
        <v>10541.79</v>
      </c>
      <c r="H110" s="3"/>
      <c r="I110" s="4">
        <f t="shared" si="107"/>
        <v>57737.79</v>
      </c>
      <c r="J110" s="4">
        <f t="shared" si="108"/>
        <v>0</v>
      </c>
      <c r="K110" s="15">
        <f t="shared" si="109"/>
        <v>57737.79</v>
      </c>
      <c r="L110" s="3">
        <v>0</v>
      </c>
      <c r="M110" s="18"/>
      <c r="N110" s="19"/>
      <c r="O110" s="19"/>
      <c r="P110" s="15"/>
      <c r="Q110" s="15"/>
      <c r="R110" s="15"/>
      <c r="S110" s="15"/>
      <c r="T110" s="3"/>
      <c r="U110" s="15"/>
      <c r="V110" s="15"/>
      <c r="W110" s="15"/>
      <c r="X110" s="18"/>
      <c r="Y110" s="4">
        <f>SUM(M110:X110)</f>
        <v>0</v>
      </c>
      <c r="Z110" s="4">
        <f t="shared" si="110"/>
        <v>0</v>
      </c>
      <c r="AA110" s="4"/>
      <c r="AB110" s="4"/>
      <c r="AC110" s="4"/>
      <c r="AD110" s="4"/>
      <c r="AE110" s="4"/>
      <c r="AF110" s="15"/>
      <c r="AG110" s="4"/>
      <c r="AH110" s="4"/>
      <c r="AI110" s="4"/>
      <c r="AJ110" s="4"/>
      <c r="AK110" s="4"/>
      <c r="AL110" s="4"/>
      <c r="AM110" s="4">
        <f t="shared" si="111"/>
        <v>0</v>
      </c>
      <c r="AN110" s="4"/>
      <c r="AO110" s="4">
        <f t="shared" si="112"/>
        <v>0</v>
      </c>
      <c r="AP110" s="4">
        <f t="shared" si="113"/>
        <v>0</v>
      </c>
      <c r="AQ110" s="4">
        <v>1376</v>
      </c>
      <c r="AR110" s="4">
        <f t="shared" si="118"/>
        <v>1376</v>
      </c>
      <c r="AS110" s="4">
        <f t="shared" si="119"/>
        <v>1376</v>
      </c>
      <c r="AT110" s="4">
        <f t="shared" si="120"/>
        <v>1376</v>
      </c>
      <c r="AU110" s="4">
        <v>1376</v>
      </c>
      <c r="AV110" s="4">
        <v>1376</v>
      </c>
      <c r="AW110" s="4">
        <v>1376</v>
      </c>
      <c r="AX110" s="4">
        <v>1376</v>
      </c>
      <c r="AY110" s="4">
        <f t="shared" si="121"/>
        <v>1376</v>
      </c>
      <c r="AZ110" s="4">
        <v>1376</v>
      </c>
      <c r="BA110" s="4">
        <v>1376</v>
      </c>
      <c r="BB110" s="18">
        <v>1376</v>
      </c>
      <c r="BC110" s="4">
        <f t="shared" si="114"/>
        <v>16512</v>
      </c>
      <c r="BD110" s="4"/>
      <c r="BE110" s="4">
        <f t="shared" si="115"/>
        <v>16512</v>
      </c>
      <c r="BF110" s="11"/>
      <c r="BH110" s="11">
        <f t="shared" si="116"/>
        <v>47196</v>
      </c>
    </row>
    <row r="111" spans="1:60" x14ac:dyDescent="0.2">
      <c r="A111" s="23">
        <v>1</v>
      </c>
      <c r="B111" s="23">
        <v>1</v>
      </c>
      <c r="C111" s="3" t="s">
        <v>21</v>
      </c>
      <c r="D111" s="14">
        <v>1322069.1499999999</v>
      </c>
      <c r="E111" s="4">
        <v>0</v>
      </c>
      <c r="F111" s="4">
        <f t="shared" si="106"/>
        <v>128642</v>
      </c>
      <c r="G111" s="4">
        <v>1291167.3999999999</v>
      </c>
      <c r="H111" s="14"/>
      <c r="I111" s="4">
        <f t="shared" si="107"/>
        <v>2741878.55</v>
      </c>
      <c r="J111" s="4">
        <f t="shared" si="108"/>
        <v>0</v>
      </c>
      <c r="K111" s="15">
        <f t="shared" si="109"/>
        <v>2741878.55</v>
      </c>
      <c r="L111" s="4">
        <v>90000</v>
      </c>
      <c r="M111" s="18">
        <v>0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4">
        <f t="shared" ref="Y111:Y116" si="122">SUM(M111:X111)</f>
        <v>0</v>
      </c>
      <c r="Z111" s="4">
        <f t="shared" si="110"/>
        <v>90000</v>
      </c>
      <c r="AA111" s="16">
        <v>10000</v>
      </c>
      <c r="AB111" s="16">
        <v>10000</v>
      </c>
      <c r="AC111" s="16">
        <v>10000</v>
      </c>
      <c r="AD111" s="16">
        <v>10000</v>
      </c>
      <c r="AE111" s="16">
        <v>10000</v>
      </c>
      <c r="AF111" s="22">
        <v>10000</v>
      </c>
      <c r="AG111" s="16">
        <v>10000</v>
      </c>
      <c r="AH111" s="16">
        <v>10000</v>
      </c>
      <c r="AI111" s="16">
        <v>10000</v>
      </c>
      <c r="AJ111" s="16"/>
      <c r="AK111" s="16"/>
      <c r="AL111" s="16"/>
      <c r="AM111" s="4">
        <f t="shared" si="111"/>
        <v>90000</v>
      </c>
      <c r="AN111" s="4"/>
      <c r="AO111" s="4">
        <f t="shared" si="112"/>
        <v>90000</v>
      </c>
      <c r="AP111" s="4">
        <f t="shared" si="113"/>
        <v>0</v>
      </c>
      <c r="AQ111" s="4">
        <v>10680</v>
      </c>
      <c r="AR111" s="4">
        <f>AQ111</f>
        <v>10680</v>
      </c>
      <c r="AS111" s="4">
        <v>10680</v>
      </c>
      <c r="AT111" s="4">
        <v>10762.5</v>
      </c>
      <c r="AU111" s="4">
        <v>10729.5</v>
      </c>
      <c r="AV111" s="4">
        <v>10730</v>
      </c>
      <c r="AW111" s="4">
        <v>10730</v>
      </c>
      <c r="AX111" s="4">
        <v>10730</v>
      </c>
      <c r="AY111" s="4">
        <f>AX111</f>
        <v>10730</v>
      </c>
      <c r="AZ111" s="4">
        <v>10730</v>
      </c>
      <c r="BA111" s="4">
        <v>10730</v>
      </c>
      <c r="BB111" s="18">
        <v>10730</v>
      </c>
      <c r="BC111" s="4">
        <f t="shared" si="114"/>
        <v>128642</v>
      </c>
      <c r="BD111" s="4"/>
      <c r="BE111" s="4">
        <f t="shared" si="115"/>
        <v>128642</v>
      </c>
      <c r="BF111" s="11"/>
      <c r="BH111" s="11">
        <f t="shared" si="116"/>
        <v>1450711.15</v>
      </c>
    </row>
    <row r="112" spans="1:60" x14ac:dyDescent="0.2">
      <c r="A112" s="23">
        <v>2</v>
      </c>
      <c r="B112" s="23">
        <v>2</v>
      </c>
      <c r="C112" s="24" t="s">
        <v>22</v>
      </c>
      <c r="D112" s="14">
        <v>1370369.5699999998</v>
      </c>
      <c r="E112" s="4">
        <v>0</v>
      </c>
      <c r="F112" s="4">
        <f t="shared" si="106"/>
        <v>128642</v>
      </c>
      <c r="G112" s="4">
        <v>1497672.47</v>
      </c>
      <c r="H112" s="14"/>
      <c r="I112" s="4">
        <f t="shared" si="107"/>
        <v>2996684.04</v>
      </c>
      <c r="J112" s="4">
        <f t="shared" si="108"/>
        <v>0</v>
      </c>
      <c r="K112" s="15">
        <f t="shared" si="109"/>
        <v>2996684.04</v>
      </c>
      <c r="L112" s="4">
        <v>0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4">
        <f t="shared" si="122"/>
        <v>0</v>
      </c>
      <c r="Z112" s="4">
        <f t="shared" si="110"/>
        <v>0</v>
      </c>
      <c r="AA112" s="16"/>
      <c r="AB112" s="16"/>
      <c r="AC112" s="16"/>
      <c r="AD112" s="16"/>
      <c r="AE112" s="16"/>
      <c r="AF112" s="22"/>
      <c r="AG112" s="16"/>
      <c r="AH112" s="16"/>
      <c r="AI112" s="16"/>
      <c r="AJ112" s="16"/>
      <c r="AK112" s="16"/>
      <c r="AL112" s="16"/>
      <c r="AM112" s="4">
        <f t="shared" si="111"/>
        <v>0</v>
      </c>
      <c r="AN112" s="4"/>
      <c r="AO112" s="4">
        <f t="shared" si="112"/>
        <v>0</v>
      </c>
      <c r="AP112" s="4">
        <f t="shared" si="113"/>
        <v>0</v>
      </c>
      <c r="AQ112" s="4">
        <v>10680</v>
      </c>
      <c r="AR112" s="4">
        <f t="shared" ref="AR112:AR118" si="123">AQ112</f>
        <v>10680</v>
      </c>
      <c r="AS112" s="4">
        <v>10680</v>
      </c>
      <c r="AT112" s="4">
        <v>10762.5</v>
      </c>
      <c r="AU112" s="4">
        <v>10729.5</v>
      </c>
      <c r="AV112" s="4">
        <v>10730</v>
      </c>
      <c r="AW112" s="4">
        <v>10730</v>
      </c>
      <c r="AX112" s="4">
        <v>10730</v>
      </c>
      <c r="AY112" s="4">
        <f>AX112</f>
        <v>10730</v>
      </c>
      <c r="AZ112" s="4">
        <v>10730</v>
      </c>
      <c r="BA112" s="4">
        <v>10730</v>
      </c>
      <c r="BB112" s="18">
        <v>10730</v>
      </c>
      <c r="BC112" s="4">
        <f t="shared" si="114"/>
        <v>128642</v>
      </c>
      <c r="BD112" s="4"/>
      <c r="BE112" s="4">
        <f t="shared" si="115"/>
        <v>128642</v>
      </c>
      <c r="BF112" s="11"/>
      <c r="BH112" s="11">
        <f t="shared" si="116"/>
        <v>1499011.5699999998</v>
      </c>
    </row>
    <row r="113" spans="1:60" x14ac:dyDescent="0.2">
      <c r="A113" s="23">
        <v>3</v>
      </c>
      <c r="B113" s="23">
        <v>4109</v>
      </c>
      <c r="C113" s="3" t="s">
        <v>23</v>
      </c>
      <c r="D113" s="14">
        <v>1336586.07</v>
      </c>
      <c r="E113" s="4">
        <v>0</v>
      </c>
      <c r="F113" s="4">
        <f t="shared" si="106"/>
        <v>0</v>
      </c>
      <c r="G113" s="4">
        <v>956905.63</v>
      </c>
      <c r="H113" s="17"/>
      <c r="I113" s="4">
        <f t="shared" si="107"/>
        <v>2293491.7000000002</v>
      </c>
      <c r="J113" s="4">
        <f t="shared" si="108"/>
        <v>200000</v>
      </c>
      <c r="K113" s="15">
        <f t="shared" si="109"/>
        <v>2093491.7000000002</v>
      </c>
      <c r="L113" s="4">
        <v>200000</v>
      </c>
      <c r="M113" s="18"/>
      <c r="N113" s="18"/>
      <c r="O113" s="18"/>
      <c r="P113" s="18"/>
      <c r="Q113" s="18"/>
      <c r="R113" s="18"/>
      <c r="S113" s="18"/>
      <c r="U113" s="18"/>
      <c r="V113" s="18"/>
      <c r="W113" s="18"/>
      <c r="X113" s="18"/>
      <c r="Y113" s="4">
        <f t="shared" si="122"/>
        <v>0</v>
      </c>
      <c r="Z113" s="4">
        <f t="shared" si="110"/>
        <v>200000</v>
      </c>
      <c r="AA113" s="16"/>
      <c r="AB113" s="16"/>
      <c r="AC113" s="16"/>
      <c r="AD113" s="16"/>
      <c r="AE113" s="16"/>
      <c r="AF113" s="22"/>
      <c r="AG113" s="16"/>
      <c r="AH113" s="16"/>
      <c r="AI113" s="16"/>
      <c r="AJ113" s="16"/>
      <c r="AK113" s="16"/>
      <c r="AL113" s="16"/>
      <c r="AM113" s="4">
        <f t="shared" si="111"/>
        <v>0</v>
      </c>
      <c r="AN113" s="4"/>
      <c r="AO113" s="4">
        <f t="shared" si="112"/>
        <v>0</v>
      </c>
      <c r="AP113" s="4">
        <f t="shared" si="113"/>
        <v>200000</v>
      </c>
      <c r="AQ113" s="4"/>
      <c r="AR113" s="4">
        <f t="shared" si="123"/>
        <v>0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>
        <f t="shared" si="114"/>
        <v>0</v>
      </c>
      <c r="BD113" s="4"/>
      <c r="BE113" s="4">
        <f t="shared" si="115"/>
        <v>0</v>
      </c>
      <c r="BF113" s="11"/>
      <c r="BH113" s="11">
        <f t="shared" si="116"/>
        <v>1336586.07</v>
      </c>
    </row>
    <row r="114" spans="1:60" x14ac:dyDescent="0.2">
      <c r="A114" s="23">
        <v>7</v>
      </c>
      <c r="B114" s="23">
        <v>4107</v>
      </c>
      <c r="C114" s="3" t="s">
        <v>24</v>
      </c>
      <c r="D114" s="14">
        <v>549035.57999999996</v>
      </c>
      <c r="E114" s="4">
        <v>0</v>
      </c>
      <c r="F114" s="4">
        <f t="shared" si="106"/>
        <v>69444</v>
      </c>
      <c r="G114" s="4">
        <v>385718.55</v>
      </c>
      <c r="H114" s="14"/>
      <c r="I114" s="4">
        <f t="shared" si="107"/>
        <v>1004198.1299999999</v>
      </c>
      <c r="J114" s="4">
        <f t="shared" si="108"/>
        <v>0</v>
      </c>
      <c r="K114" s="15">
        <f t="shared" si="109"/>
        <v>1004198.1299999999</v>
      </c>
      <c r="L114" s="4">
        <v>0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4">
        <f t="shared" si="122"/>
        <v>0</v>
      </c>
      <c r="Z114" s="4">
        <f t="shared" si="110"/>
        <v>0</v>
      </c>
      <c r="AA114" s="16"/>
      <c r="AB114" s="16"/>
      <c r="AC114" s="16"/>
      <c r="AD114" s="16"/>
      <c r="AE114" s="16"/>
      <c r="AF114" s="22"/>
      <c r="AG114" s="16"/>
      <c r="AH114" s="16"/>
      <c r="AI114" s="16"/>
      <c r="AJ114" s="16"/>
      <c r="AK114" s="16"/>
      <c r="AL114" s="16"/>
      <c r="AM114" s="4">
        <f t="shared" si="111"/>
        <v>0</v>
      </c>
      <c r="AN114" s="4"/>
      <c r="AO114" s="4">
        <f t="shared" si="112"/>
        <v>0</v>
      </c>
      <c r="AP114" s="4">
        <f t="shared" si="113"/>
        <v>0</v>
      </c>
      <c r="AQ114" s="4">
        <v>5787</v>
      </c>
      <c r="AR114" s="4">
        <f t="shared" si="123"/>
        <v>5787</v>
      </c>
      <c r="AS114" s="4">
        <v>5787</v>
      </c>
      <c r="AT114" s="4">
        <v>5787</v>
      </c>
      <c r="AU114" s="4">
        <v>5787</v>
      </c>
      <c r="AV114" s="4">
        <v>5787</v>
      </c>
      <c r="AW114" s="4">
        <v>5787</v>
      </c>
      <c r="AX114" s="4">
        <v>5787</v>
      </c>
      <c r="AY114" s="4">
        <f>AX114</f>
        <v>5787</v>
      </c>
      <c r="AZ114" s="4">
        <v>5787</v>
      </c>
      <c r="BA114" s="4">
        <v>5787</v>
      </c>
      <c r="BB114" s="18">
        <v>5787</v>
      </c>
      <c r="BC114" s="4">
        <f t="shared" si="114"/>
        <v>69444</v>
      </c>
      <c r="BD114" s="4"/>
      <c r="BE114" s="4">
        <f t="shared" si="115"/>
        <v>69444</v>
      </c>
      <c r="BF114" s="11"/>
      <c r="BH114" s="11">
        <f t="shared" si="116"/>
        <v>618479.57999999996</v>
      </c>
    </row>
    <row r="115" spans="1:60" x14ac:dyDescent="0.2">
      <c r="A115" s="23">
        <v>8</v>
      </c>
      <c r="B115" s="23">
        <v>4105</v>
      </c>
      <c r="C115" s="3" t="s">
        <v>25</v>
      </c>
      <c r="D115" s="14">
        <v>634574.13</v>
      </c>
      <c r="E115" s="4">
        <v>0</v>
      </c>
      <c r="F115" s="4">
        <f t="shared" si="106"/>
        <v>76752</v>
      </c>
      <c r="G115" s="4">
        <v>472229.22</v>
      </c>
      <c r="H115" s="14"/>
      <c r="I115" s="4">
        <f t="shared" si="107"/>
        <v>1183555.3500000001</v>
      </c>
      <c r="J115" s="4">
        <f t="shared" si="108"/>
        <v>544000</v>
      </c>
      <c r="K115" s="15">
        <f t="shared" si="109"/>
        <v>639555.35000000009</v>
      </c>
      <c r="L115" s="4">
        <v>736000</v>
      </c>
      <c r="M115" s="18"/>
      <c r="N115" s="18"/>
      <c r="O115" s="18"/>
      <c r="P115" s="18"/>
      <c r="Q115" s="18"/>
      <c r="R115" s="18"/>
      <c r="S115" s="18"/>
      <c r="T115" s="15"/>
      <c r="U115" s="18"/>
      <c r="V115" s="18"/>
      <c r="W115" s="18"/>
      <c r="X115" s="18"/>
      <c r="Y115" s="4">
        <f t="shared" si="122"/>
        <v>0</v>
      </c>
      <c r="Z115" s="4">
        <f t="shared" si="110"/>
        <v>736000</v>
      </c>
      <c r="AA115" s="16">
        <v>16000</v>
      </c>
      <c r="AB115" s="16">
        <v>16000</v>
      </c>
      <c r="AC115" s="16">
        <v>16000</v>
      </c>
      <c r="AD115" s="16">
        <v>16000</v>
      </c>
      <c r="AE115" s="16">
        <v>16000</v>
      </c>
      <c r="AF115" s="22">
        <v>16000</v>
      </c>
      <c r="AG115" s="16">
        <v>16000</v>
      </c>
      <c r="AH115" s="16">
        <v>16000</v>
      </c>
      <c r="AI115" s="16">
        <v>16000</v>
      </c>
      <c r="AJ115" s="16">
        <v>16000</v>
      </c>
      <c r="AK115" s="16">
        <v>16000</v>
      </c>
      <c r="AL115" s="16">
        <v>16000</v>
      </c>
      <c r="AM115" s="4">
        <f t="shared" si="111"/>
        <v>192000</v>
      </c>
      <c r="AN115" s="4"/>
      <c r="AO115" s="4">
        <f t="shared" si="112"/>
        <v>192000</v>
      </c>
      <c r="AP115" s="4">
        <f t="shared" si="113"/>
        <v>544000</v>
      </c>
      <c r="AQ115" s="4">
        <v>6396</v>
      </c>
      <c r="AR115" s="4">
        <f t="shared" si="123"/>
        <v>6396</v>
      </c>
      <c r="AS115" s="4">
        <v>6396</v>
      </c>
      <c r="AT115" s="4">
        <v>6396</v>
      </c>
      <c r="AU115" s="4">
        <v>6396</v>
      </c>
      <c r="AV115" s="4">
        <v>6396</v>
      </c>
      <c r="AW115" s="4">
        <v>6396</v>
      </c>
      <c r="AX115" s="4">
        <v>6396</v>
      </c>
      <c r="AY115" s="4">
        <f>AX115</f>
        <v>6396</v>
      </c>
      <c r="AZ115" s="4">
        <v>6396</v>
      </c>
      <c r="BA115" s="4">
        <v>6396</v>
      </c>
      <c r="BB115" s="18">
        <v>6396</v>
      </c>
      <c r="BC115" s="4">
        <f t="shared" si="114"/>
        <v>76752</v>
      </c>
      <c r="BD115" s="4"/>
      <c r="BE115" s="4">
        <f t="shared" si="115"/>
        <v>76752</v>
      </c>
      <c r="BF115" s="11"/>
      <c r="BH115" s="11">
        <f t="shared" si="116"/>
        <v>711326.13</v>
      </c>
    </row>
    <row r="116" spans="1:60" x14ac:dyDescent="0.2">
      <c r="A116" s="23">
        <v>106</v>
      </c>
      <c r="B116" s="23">
        <v>1403</v>
      </c>
      <c r="C116" s="3" t="s">
        <v>64</v>
      </c>
      <c r="D116" s="14">
        <v>608785.5</v>
      </c>
      <c r="E116" s="4">
        <v>0</v>
      </c>
      <c r="F116" s="4">
        <f t="shared" si="106"/>
        <v>26523</v>
      </c>
      <c r="G116" s="4">
        <v>490390.97</v>
      </c>
      <c r="H116" s="14"/>
      <c r="I116" s="4">
        <f t="shared" si="107"/>
        <v>1125699.47</v>
      </c>
      <c r="J116" s="4">
        <f t="shared" si="108"/>
        <v>921890</v>
      </c>
      <c r="K116" s="15">
        <f t="shared" si="109"/>
        <v>203809.46999999997</v>
      </c>
      <c r="L116" s="4">
        <v>656000</v>
      </c>
      <c r="M116" s="18"/>
      <c r="N116" s="18">
        <v>323000</v>
      </c>
      <c r="O116" s="18"/>
      <c r="P116" s="18"/>
      <c r="Q116" s="18"/>
      <c r="R116" s="18"/>
      <c r="S116" s="18">
        <v>175000</v>
      </c>
      <c r="T116" s="18"/>
      <c r="U116" s="18"/>
      <c r="V116" s="18"/>
      <c r="W116" s="18"/>
      <c r="X116" s="18"/>
      <c r="Y116" s="4">
        <f t="shared" si="122"/>
        <v>498000</v>
      </c>
      <c r="Z116" s="4">
        <f t="shared" si="110"/>
        <v>1154000</v>
      </c>
      <c r="AA116" s="16">
        <v>16000</v>
      </c>
      <c r="AB116" s="16">
        <v>16000</v>
      </c>
      <c r="AC116" s="16">
        <v>19000</v>
      </c>
      <c r="AD116" s="16">
        <v>19000</v>
      </c>
      <c r="AE116" s="16">
        <v>19000</v>
      </c>
      <c r="AF116" s="22">
        <v>19000</v>
      </c>
      <c r="AG116" s="16">
        <v>18935</v>
      </c>
      <c r="AH116" s="16">
        <v>18935</v>
      </c>
      <c r="AI116" s="16">
        <v>18935</v>
      </c>
      <c r="AJ116" s="16">
        <v>22435</v>
      </c>
      <c r="AK116" s="16">
        <v>22435</v>
      </c>
      <c r="AL116" s="16">
        <v>22435</v>
      </c>
      <c r="AM116" s="4">
        <f t="shared" si="111"/>
        <v>232110</v>
      </c>
      <c r="AN116" s="4"/>
      <c r="AO116" s="4">
        <f t="shared" si="112"/>
        <v>232110</v>
      </c>
      <c r="AP116" s="4">
        <f t="shared" si="113"/>
        <v>921890</v>
      </c>
      <c r="AQ116" s="4">
        <v>2077.5</v>
      </c>
      <c r="AR116" s="4">
        <f t="shared" si="123"/>
        <v>2077.5</v>
      </c>
      <c r="AS116" s="4">
        <v>2077.5</v>
      </c>
      <c r="AT116" s="4">
        <f>AS116</f>
        <v>2077.5</v>
      </c>
      <c r="AU116" s="4">
        <v>2077.5</v>
      </c>
      <c r="AV116" s="4">
        <v>2077.5</v>
      </c>
      <c r="AW116" s="4">
        <v>2078</v>
      </c>
      <c r="AX116" s="4">
        <v>2078</v>
      </c>
      <c r="AY116" s="4">
        <f>AX116</f>
        <v>2078</v>
      </c>
      <c r="AZ116" s="4">
        <v>2608</v>
      </c>
      <c r="BA116" s="4">
        <v>2608</v>
      </c>
      <c r="BB116" s="18">
        <v>2608</v>
      </c>
      <c r="BC116" s="4">
        <f t="shared" si="114"/>
        <v>26523</v>
      </c>
      <c r="BD116" s="4"/>
      <c r="BE116" s="4">
        <f t="shared" si="115"/>
        <v>26523</v>
      </c>
      <c r="BF116" s="11"/>
      <c r="BH116" s="11">
        <f t="shared" si="116"/>
        <v>635308.5</v>
      </c>
    </row>
    <row r="117" spans="1:60" x14ac:dyDescent="0.2">
      <c r="A117" s="23">
        <v>107</v>
      </c>
      <c r="B117" s="23">
        <v>4102</v>
      </c>
      <c r="C117" s="3" t="s">
        <v>26</v>
      </c>
      <c r="D117" s="14">
        <v>246493.61</v>
      </c>
      <c r="E117" s="4">
        <v>0</v>
      </c>
      <c r="F117" s="4">
        <f t="shared" si="106"/>
        <v>29844</v>
      </c>
      <c r="G117" s="4">
        <v>75887.91</v>
      </c>
      <c r="H117" s="3"/>
      <c r="I117" s="4">
        <f t="shared" si="107"/>
        <v>352225.52</v>
      </c>
      <c r="J117" s="4">
        <f t="shared" si="108"/>
        <v>165460</v>
      </c>
      <c r="K117" s="15">
        <f t="shared" si="109"/>
        <v>186765.52000000002</v>
      </c>
      <c r="L117" s="4">
        <v>136004</v>
      </c>
      <c r="M117" s="18"/>
      <c r="N117" s="19"/>
      <c r="O117" s="19"/>
      <c r="P117" s="15"/>
      <c r="Q117" s="15"/>
      <c r="R117" s="15">
        <v>30000</v>
      </c>
      <c r="S117" s="15"/>
      <c r="T117" s="3"/>
      <c r="U117" s="15"/>
      <c r="V117" s="15"/>
      <c r="W117" s="15"/>
      <c r="X117" s="18">
        <v>40000</v>
      </c>
      <c r="Y117" s="4">
        <f>SUM(M117:X117)</f>
        <v>70000</v>
      </c>
      <c r="Z117" s="4">
        <f t="shared" si="110"/>
        <v>206004</v>
      </c>
      <c r="AA117" s="4">
        <v>3160</v>
      </c>
      <c r="AB117" s="4">
        <v>3160</v>
      </c>
      <c r="AC117" s="4">
        <v>3160</v>
      </c>
      <c r="AD117" s="4">
        <v>3160</v>
      </c>
      <c r="AE117" s="4">
        <v>3160</v>
      </c>
      <c r="AF117" s="15">
        <v>3160</v>
      </c>
      <c r="AG117" s="4">
        <v>3164</v>
      </c>
      <c r="AH117" s="4">
        <v>3164</v>
      </c>
      <c r="AI117" s="4">
        <v>3164</v>
      </c>
      <c r="AJ117" s="4">
        <v>3764</v>
      </c>
      <c r="AK117" s="4">
        <v>3764</v>
      </c>
      <c r="AL117" s="4">
        <v>4564</v>
      </c>
      <c r="AM117" s="4">
        <f t="shared" si="111"/>
        <v>40544</v>
      </c>
      <c r="AN117" s="4"/>
      <c r="AO117" s="4">
        <f t="shared" si="112"/>
        <v>40544</v>
      </c>
      <c r="AP117" s="4">
        <f t="shared" si="113"/>
        <v>165460</v>
      </c>
      <c r="AQ117" s="4">
        <v>2487</v>
      </c>
      <c r="AR117" s="4">
        <f t="shared" si="123"/>
        <v>2487</v>
      </c>
      <c r="AS117" s="4">
        <f t="shared" ref="AS117:AS118" si="124">AR117</f>
        <v>2487</v>
      </c>
      <c r="AT117" s="4">
        <f t="shared" ref="AT117:AT118" si="125">AS117</f>
        <v>2487</v>
      </c>
      <c r="AU117" s="4">
        <v>2487</v>
      </c>
      <c r="AV117" s="4">
        <v>2487</v>
      </c>
      <c r="AW117" s="4">
        <v>2487</v>
      </c>
      <c r="AX117" s="4">
        <v>2487</v>
      </c>
      <c r="AY117" s="4">
        <f t="shared" ref="AY117:AY118" si="126">AX117</f>
        <v>2487</v>
      </c>
      <c r="AZ117" s="4">
        <v>2487</v>
      </c>
      <c r="BA117" s="4">
        <v>2487</v>
      </c>
      <c r="BB117" s="18">
        <v>2487</v>
      </c>
      <c r="BC117" s="4">
        <f t="shared" si="114"/>
        <v>29844</v>
      </c>
      <c r="BD117" s="4"/>
      <c r="BE117" s="4">
        <f t="shared" si="115"/>
        <v>29844</v>
      </c>
      <c r="BF117" s="11"/>
      <c r="BH117" s="11">
        <f t="shared" si="116"/>
        <v>276337.61</v>
      </c>
    </row>
    <row r="118" spans="1:60" x14ac:dyDescent="0.2">
      <c r="A118" s="23">
        <v>108</v>
      </c>
      <c r="B118" s="23">
        <v>4103</v>
      </c>
      <c r="C118" s="3" t="s">
        <v>67</v>
      </c>
      <c r="D118" s="14">
        <v>30684</v>
      </c>
      <c r="E118" s="4">
        <v>0</v>
      </c>
      <c r="F118" s="4">
        <f t="shared" si="106"/>
        <v>16512</v>
      </c>
      <c r="G118" s="4">
        <v>10541.79</v>
      </c>
      <c r="H118" s="3"/>
      <c r="I118" s="4">
        <f t="shared" si="107"/>
        <v>57737.79</v>
      </c>
      <c r="J118" s="4">
        <f t="shared" si="108"/>
        <v>0</v>
      </c>
      <c r="K118" s="15">
        <f t="shared" si="109"/>
        <v>57737.79</v>
      </c>
      <c r="L118" s="3">
        <v>0</v>
      </c>
      <c r="M118" s="18"/>
      <c r="N118" s="19"/>
      <c r="O118" s="19"/>
      <c r="P118" s="15"/>
      <c r="Q118" s="15"/>
      <c r="R118" s="15"/>
      <c r="S118" s="15"/>
      <c r="T118" s="3"/>
      <c r="U118" s="15"/>
      <c r="V118" s="15"/>
      <c r="W118" s="15"/>
      <c r="X118" s="18"/>
      <c r="Y118" s="4">
        <f>SUM(M118:X118)</f>
        <v>0</v>
      </c>
      <c r="Z118" s="4">
        <f t="shared" si="110"/>
        <v>0</v>
      </c>
      <c r="AA118" s="4"/>
      <c r="AB118" s="4"/>
      <c r="AC118" s="4"/>
      <c r="AD118" s="4"/>
      <c r="AE118" s="4"/>
      <c r="AF118" s="15"/>
      <c r="AG118" s="4"/>
      <c r="AH118" s="4"/>
      <c r="AI118" s="4"/>
      <c r="AJ118" s="4"/>
      <c r="AK118" s="4"/>
      <c r="AL118" s="4"/>
      <c r="AM118" s="4">
        <f t="shared" si="111"/>
        <v>0</v>
      </c>
      <c r="AN118" s="4"/>
      <c r="AO118" s="4">
        <f t="shared" si="112"/>
        <v>0</v>
      </c>
      <c r="AP118" s="4">
        <f t="shared" si="113"/>
        <v>0</v>
      </c>
      <c r="AQ118" s="4">
        <v>1376</v>
      </c>
      <c r="AR118" s="4">
        <f t="shared" si="123"/>
        <v>1376</v>
      </c>
      <c r="AS118" s="4">
        <f t="shared" si="124"/>
        <v>1376</v>
      </c>
      <c r="AT118" s="4">
        <f t="shared" si="125"/>
        <v>1376</v>
      </c>
      <c r="AU118" s="4">
        <v>1376</v>
      </c>
      <c r="AV118" s="4">
        <v>1376</v>
      </c>
      <c r="AW118" s="4">
        <v>1376</v>
      </c>
      <c r="AX118" s="4">
        <v>1376</v>
      </c>
      <c r="AY118" s="4">
        <f t="shared" si="126"/>
        <v>1376</v>
      </c>
      <c r="AZ118" s="4">
        <v>1376</v>
      </c>
      <c r="BA118" s="4">
        <v>1376</v>
      </c>
      <c r="BB118" s="18">
        <v>1376</v>
      </c>
      <c r="BC118" s="4">
        <f t="shared" si="114"/>
        <v>16512</v>
      </c>
      <c r="BD118" s="4"/>
      <c r="BE118" s="4">
        <f t="shared" si="115"/>
        <v>16512</v>
      </c>
      <c r="BF118" s="11"/>
      <c r="BH118" s="11">
        <f t="shared" si="116"/>
        <v>47196</v>
      </c>
    </row>
  </sheetData>
  <mergeCells count="31">
    <mergeCell ref="AQ6:BB6"/>
    <mergeCell ref="BE2:BE7"/>
    <mergeCell ref="AQ2:BB5"/>
    <mergeCell ref="BC2:BC7"/>
    <mergeCell ref="BD2:BD7"/>
    <mergeCell ref="AN2:AN7"/>
    <mergeCell ref="AO2:AO7"/>
    <mergeCell ref="AP2:AP7"/>
    <mergeCell ref="AM2:AM7"/>
    <mergeCell ref="D3:F3"/>
    <mergeCell ref="G3:H3"/>
    <mergeCell ref="D4:D7"/>
    <mergeCell ref="E4:E7"/>
    <mergeCell ref="F4:F7"/>
    <mergeCell ref="G4:G7"/>
    <mergeCell ref="H4:H7"/>
    <mergeCell ref="Z4:Z6"/>
    <mergeCell ref="AA5:AL5"/>
    <mergeCell ref="M6:X6"/>
    <mergeCell ref="A2:A7"/>
    <mergeCell ref="C2:C7"/>
    <mergeCell ref="D2:K2"/>
    <mergeCell ref="L2:Z3"/>
    <mergeCell ref="AA2:AL4"/>
    <mergeCell ref="K4:K7"/>
    <mergeCell ref="L4:L6"/>
    <mergeCell ref="M4:X5"/>
    <mergeCell ref="Y4:Y6"/>
    <mergeCell ref="I4:I7"/>
    <mergeCell ref="J4:J7"/>
    <mergeCell ref="B2:B7"/>
  </mergeCells>
  <printOptions horizontalCentered="1"/>
  <pageMargins left="0.25" right="0.25" top="0.75" bottom="0.75" header="0.3" footer="0.3"/>
  <pageSetup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2026-04-08T06:16:53Z</dcterms:modified>
</cp:coreProperties>
</file>